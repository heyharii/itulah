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6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7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8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9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0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11.xml" ContentType="application/vnd.openxmlformats-officedocument.spreadsheetml.worksheet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12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13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worksheets/sheet14.xml" ContentType="application/vnd.openxmlformats-officedocument.spreadsheetml.worksheet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worksheets/sheet15.xml" ContentType="application/vnd.openxmlformats-officedocument.spreadsheetml.worksheet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worksheets/sheet16.xml" ContentType="application/vnd.openxmlformats-officedocument.spreadsheetml.worksheet+xml"/>
  <Override PartName="/xl/tables/table59.xml" ContentType="application/vnd.openxmlformats-officedocument.spreadsheetml.table+xml"/>
  <Override PartName="/xl/tables/table6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e89a8b57c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eta Menu" sheetId="1" r:id="R78629c599c674964"/>
    <x:sheet xmlns:r="http://schemas.openxmlformats.org/officeDocument/2006/relationships" name="01 Ringkasan" sheetId="2" r:id="R1300b10d6aa14ee1"/>
    <x:sheet xmlns:r="http://schemas.openxmlformats.org/officeDocument/2006/relationships" name="02 Kas dan Bank" sheetId="3" r:id="R820ec2d4abc94a36"/>
    <x:sheet xmlns:r="http://schemas.openxmlformats.org/officeDocument/2006/relationships" name="03 Tagihan dan Pengeluaran" sheetId="4" r:id="Rc77f1964701c4c1f"/>
    <x:sheet xmlns:r="http://schemas.openxmlformats.org/officeDocument/2006/relationships" name="04 Penjualan dan Piutang" sheetId="5" r:id="Rbdf3427b3d14448c"/>
    <x:sheet xmlns:r="http://schemas.openxmlformats.org/officeDocument/2006/relationships" name="05 Persediaan" sheetId="6" r:id="R0ced9799edc14fc7"/>
    <x:sheet xmlns:r="http://schemas.openxmlformats.org/officeDocument/2006/relationships" name="06 Antarunit" sheetId="7" r:id="R2367b00082b5477b"/>
    <x:sheet xmlns:r="http://schemas.openxmlformats.org/officeDocument/2006/relationships" name="07 Aset dan Proyek" sheetId="8" r:id="R5ef3c3328c924db9"/>
    <x:sheet xmlns:r="http://schemas.openxmlformats.org/officeDocument/2006/relationships" name="08 Payroll" sheetId="9" r:id="R326329b9ff4d4c0a"/>
    <x:sheet xmlns:r="http://schemas.openxmlformats.org/officeDocument/2006/relationships" name="09 Pajak" sheetId="10" r:id="Rabf6544eaefa4f99"/>
    <x:sheet xmlns:r="http://schemas.openxmlformats.org/officeDocument/2006/relationships" name="10 Pendanaan dan Modal" sheetId="11" r:id="Rd8e3ad61953f4236"/>
    <x:sheet xmlns:r="http://schemas.openxmlformats.org/officeDocument/2006/relationships" name="11 Akuntansi dan Tutup Buku" sheetId="12" r:id="R0ba3db9e5d374fc8"/>
    <x:sheet xmlns:r="http://schemas.openxmlformats.org/officeDocument/2006/relationships" name="12 Laporan" sheetId="13" r:id="R2dee106e5d344692"/>
    <x:sheet xmlns:r="http://schemas.openxmlformats.org/officeDocument/2006/relationships" name="13 Pengaturan Finance" sheetId="14" r:id="Rc6f0f2866bba40a1"/>
    <x:sheet xmlns:r="http://schemas.openxmlformats.org/officeDocument/2006/relationships" name="14 Alur Harian dan Bisnis" sheetId="15" r:id="R0fd20614f9b94f02"/>
    <x:sheet xmlns:r="http://schemas.openxmlformats.org/officeDocument/2006/relationships" name="15 Pola Layar dan Batas" sheetId="16" r:id="Rb541f21d1f79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&quot;—&quot;"/>
    <x:numFmt numFmtId="201" formatCode="dd mmm yyyy"/>
    <x:numFmt numFmtId="202" formatCode="0"/>
  </x:numFmts>
  <x:fonts count="9">
    <x:font>
      <x:sz val="11"/>
      <x:name val="Carlito"/>
    </x:font>
    <x:font>
      <x:sz val="11"/>
      <x:name val="Arial"/>
    </x:font>
    <x:font>
      <x:b/>
      <x:sz val="17"/>
      <x:color rgb="FF172B4D"/>
      <x:name val="Arial"/>
    </x:font>
    <x:font>
      <x:sz val="10"/>
      <x:color rgb="FF556477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344054"/>
      <x:name val="Arial"/>
    </x:font>
    <x:font>
      <x:b/>
      <x:sz val="10"/>
      <x:color rgb="FF344054"/>
      <x:name val="Arial"/>
    </x:font>
    <x:font>
      <x:b/>
      <x:sz val="12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E7EDF4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0ed6a60e54447" /><Relationship Type="http://schemas.openxmlformats.org/officeDocument/2006/relationships/theme" Target="/xl/theme/theme1.xml" Id="Rad8b1608ec684cb4" /><Relationship Type="http://schemas.openxmlformats.org/officeDocument/2006/relationships/sharedStrings" Target="/xl/sharedStrings.xml" Id="R1ac2e74b9aaa4283" /><Relationship Type="http://schemas.openxmlformats.org/officeDocument/2006/relationships/worksheet" Target="/xl/worksheets/sheet1.xml" Id="R78629c599c674964" /><Relationship Type="http://schemas.openxmlformats.org/officeDocument/2006/relationships/worksheet" Target="/xl/worksheets/sheet2.xml" Id="R1300b10d6aa14ee1" /><Relationship Type="http://schemas.openxmlformats.org/officeDocument/2006/relationships/worksheet" Target="/xl/worksheets/sheet3.xml" Id="R820ec2d4abc94a36" /><Relationship Type="http://schemas.openxmlformats.org/officeDocument/2006/relationships/worksheet" Target="/xl/worksheets/sheet4.xml" Id="Rc77f1964701c4c1f" /><Relationship Type="http://schemas.openxmlformats.org/officeDocument/2006/relationships/worksheet" Target="/xl/worksheets/sheet5.xml" Id="Rbdf3427b3d14448c" /><Relationship Type="http://schemas.openxmlformats.org/officeDocument/2006/relationships/worksheet" Target="/xl/worksheets/sheet6.xml" Id="R0ced9799edc14fc7" /><Relationship Type="http://schemas.openxmlformats.org/officeDocument/2006/relationships/worksheet" Target="/xl/worksheets/sheet7.xml" Id="R2367b00082b5477b" /><Relationship Type="http://schemas.openxmlformats.org/officeDocument/2006/relationships/worksheet" Target="/xl/worksheets/sheet8.xml" Id="R5ef3c3328c924db9" /><Relationship Type="http://schemas.openxmlformats.org/officeDocument/2006/relationships/worksheet" Target="/xl/worksheets/sheet9.xml" Id="R326329b9ff4d4c0a" /><Relationship Type="http://schemas.openxmlformats.org/officeDocument/2006/relationships/worksheet" Target="/xl/worksheets/sheet10.xml" Id="Rabf6544eaefa4f99" /><Relationship Type="http://schemas.openxmlformats.org/officeDocument/2006/relationships/worksheet" Target="/xl/worksheets/sheet11.xml" Id="Rd8e3ad61953f4236" /><Relationship Type="http://schemas.openxmlformats.org/officeDocument/2006/relationships/worksheet" Target="/xl/worksheets/sheet12.xml" Id="R0ba3db9e5d374fc8" /><Relationship Type="http://schemas.openxmlformats.org/officeDocument/2006/relationships/worksheet" Target="/xl/worksheets/sheet13.xml" Id="R2dee106e5d344692" /><Relationship Type="http://schemas.openxmlformats.org/officeDocument/2006/relationships/worksheet" Target="/xl/worksheets/sheet14.xml" Id="Rc6f0f2866bba40a1" /><Relationship Type="http://schemas.openxmlformats.org/officeDocument/2006/relationships/worksheet" Target="/xl/worksheets/sheet15.xml" Id="R0fd20614f9b94f02" /><Relationship Type="http://schemas.openxmlformats.org/officeDocument/2006/relationships/worksheet" Target="/xl/worksheets/sheet16.xml" Id="Rb541f21d1f794c97" /></Relationships>
</file>

<file path=xl/tables/table1.xml><?xml version="1.0" encoding="utf-8"?>
<x:table xmlns:x="http://schemas.openxmlformats.org/spreadsheetml/2006/main" id="1" name="MenuTable1" displayName="MenuTable1" ref="A5:H18" headerRowCount="1" totalsRowCount="0" totalsRowShown="0">
  <x:tableColumns count="8">
    <x:tableColumn id="1" name="Urut"/>
    <x:tableColumn id="2" name="Menu utama"/>
    <x:tableColumn id="3" name="Tujuan"/>
    <x:tableColumn id="4" name="Tab aplikasi"/>
    <x:tableColumn id="5" name="Pengguna utama"/>
    <x:tableColumn id="6" name="Sheet detail"/>
    <x:tableColumn id="7" name="Keputusan review"/>
    <x:tableColumn id="8" name="Catatan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Table2" displayName="MenuTable2" ref="A14:H16" headerRowCount="1" totalsRowCount="0" totalsRowShown="0">
  <x:tableColumns count="8">
    <x:tableColumn id="1" name="Prioritas"/>
    <x:tableColumn id="2" name="Pekerjaan"/>
    <x:tableColumn id="3" name="Unit"/>
    <x:tableColumn id="4" name="Referensi"/>
    <x:tableColumn id="5" name="Nilai Rp"/>
    <x:tableColumn id="6" name="Batas waktu"/>
    <x:tableColumn id="7" name="Penanggung jawab"/>
    <x:tableColumn id="8" name="Aks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nuTable3" displayName="MenuTable3" ref="A28:H29" headerRowCount="1" totalsRowCount="0" totalsRowShown="0">
  <x:tableColumns count="8">
    <x:tableColumn id="1" name="Dokumen"/>
    <x:tableColumn id="2" name="Jenis"/>
    <x:tableColumn id="3" name="Unit"/>
    <x:tableColumn id="4" name="Pengaju"/>
    <x:tableColumn id="5" name="Nilai Rp"/>
    <x:tableColumn id="6" name="Diajukan"/>
    <x:tableColumn id="7" name="Tahap"/>
    <x:tableColumn id="8" name="Aks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nuTable4" displayName="MenuTable4" ref="A41:H42" headerRowCount="1" totalsRowCount="0" totalsRowShown="0">
  <x:tableColumns count="8">
    <x:tableColumn id="1" name="Kasus"/>
    <x:tableColumn id="2" name="Jenis masalah"/>
    <x:tableColumn id="3" name="Unit"/>
    <x:tableColumn id="4" name="Referensi"/>
    <x:tableColumn id="5" name="Ditemukan"/>
    <x:tableColumn id="6" name="Penanggung jawab"/>
    <x:tableColumn id="7" name="Status"/>
    <x:tableColumn id="8" name="Aks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nuTable5" displayName="MenuTable5" ref="A14:H16" headerRowCount="1" totalsRowCount="0" totalsRowShown="0">
  <x:tableColumns count="8">
    <x:tableColumn id="1" name="Rekening"/>
    <x:tableColumn id="2" name="Unit"/>
    <x:tableColumn id="3" name="Jenis"/>
    <x:tableColumn id="4" name="Mata uang"/>
    <x:tableColumn id="5" name="Saldo buku Rp"/>
    <x:tableColumn id="6" name="Saldo bank Rp"/>
    <x:tableColumn id="7" name="Tanggal bank"/>
    <x:tableColumn id="8" name="Aks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nuTable6" displayName="MenuTable6" ref="A28:H30" headerRowCount="1" totalsRowCount="0" totalsRowShown="0">
  <x:tableColumns count="8">
    <x:tableColumn id="1" name="ID pembayaran"/>
    <x:tableColumn id="2" name="Tanggal"/>
    <x:tableColumn id="3" name="Unit"/>
    <x:tableColumn id="4" name="Arah"/>
    <x:tableColumn id="5" name="Pihak"/>
    <x:tableColumn id="6" name="Nilai Rp"/>
    <x:tableColumn id="7" name="Status"/>
    <x:tableColumn id="8" name="Dokumen sumb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nuTable7" displayName="MenuTable7" ref="A42:H43" headerRowCount="1" totalsRowCount="0" totalsRowShown="0">
  <x:tableColumns count="8">
    <x:tableColumn id="1" name="Transfer"/>
    <x:tableColumn id="2" name="Tanggal"/>
    <x:tableColumn id="3" name="Dari"/>
    <x:tableColumn id="4" name="Ke"/>
    <x:tableColumn id="5" name="Nilai Rp"/>
    <x:tableColumn id="6" name="Biaya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nuTable8" displayName="MenuTable8" ref="A55:H56" headerRowCount="1" totalsRowCount="0" totalsRowShown="0">
  <x:tableColumns count="8">
    <x:tableColumn id="1" name="Giro"/>
    <x:tableColumn id="2" name="Bank"/>
    <x:tableColumn id="3" name="Unit"/>
    <x:tableColumn id="4" name="Penerima"/>
    <x:tableColumn id="5" name="Nilai Rp"/>
    <x:tableColumn id="6" name="Jatuh tempo"/>
    <x:tableColumn id="7" name="Status"/>
    <x:tableColumn id="8" name="S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nuTable9" displayName="MenuTable9" ref="A68:H70" headerRowCount="1" totalsRowCount="0" totalsRowShown="0">
  <x:tableColumns count="8">
    <x:tableColumn id="1" name="Baris bank"/>
    <x:tableColumn id="2" name="Tanggal"/>
    <x:tableColumn id="3" name="Rekening"/>
    <x:tableColumn id="4" name="Uraian"/>
    <x:tableColumn id="5" name="Nilai Rp"/>
    <x:tableColumn id="6" name="Pasangan buku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nuTable10" displayName="MenuTable10" ref="A14:H16" headerRowCount="1" totalsRowCount="0" totalsRowShown="0">
  <x:tableColumns count="8">
    <x:tableColumn id="1" name="Tagihan"/>
    <x:tableColumn id="2" name="Vendor"/>
    <x:tableColumn id="3" name="Unit"/>
    <x:tableColumn id="4" name="Tanggal"/>
    <x:tableColumn id="5" name="Jatuh tempo"/>
    <x:tableColumn id="6" name="Total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nuTable11" displayName="MenuTable11" ref="A28:H29" headerRowCount="1" totalsRowCount="0" totalsRowShown="0">
  <x:tableColumns count="8">
    <x:tableColumn id="1" name="Klaim"/>
    <x:tableColumn id="2" name="Pengaju"/>
    <x:tableColumn id="3" name="Unit"/>
    <x:tableColumn id="4" name="Keperluan"/>
    <x:tableColumn id="5" name="Nilai Rp"/>
    <x:tableColumn id="6" name="Tanggal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nuTable12" displayName="MenuTable12" ref="A41:H42" headerRowCount="1" totalsRowCount="0" totalsRowShown="0">
  <x:tableColumns count="8">
    <x:tableColumn id="1" name="Uang muka"/>
    <x:tableColumn id="2" name="Pemegang"/>
    <x:tableColumn id="3" name="Unit"/>
    <x:tableColumn id="4" name="Tujuan"/>
    <x:tableColumn id="5" name="Diberikan Rp"/>
    <x:tableColumn id="6" name="Dipertanggungjawabkan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nuTable13" displayName="MenuTable13" ref="A54:H55" headerRowCount="1" totalsRowCount="0" totalsRowShown="0">
  <x:tableColumns count="8">
    <x:tableColumn id="1" name="Jadwal"/>
    <x:tableColumn id="2" name="Jenis"/>
    <x:tableColumn id="3" name="Unit"/>
    <x:tableColumn id="4" name="Mulai"/>
    <x:tableColumn id="5" name="Akhir"/>
    <x:tableColumn id="6" name="Nilai awal Rp"/>
    <x:tableColumn id="7" name="Saldo Rp"/>
    <x:tableColumn id="8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enuTable14" displayName="MenuTable14" ref="A14:H15" headerRowCount="1" totalsRowCount="0" totalsRowShown="0">
  <x:tableColumns count="8">
    <x:tableColumn id="1" name="Sumber penjualan"/>
    <x:tableColumn id="2" name="Tanggal"/>
    <x:tableColumn id="3" name="Unit"/>
    <x:tableColumn id="4" name="Kanal"/>
    <x:tableColumn id="5" name="Bruto Rp"/>
    <x:tableColumn id="6" name="Potongan Rp"/>
    <x:tableColumn id="7" name="Neto Rp"/>
    <x:tableColumn id="8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enuTable15" displayName="MenuTable15" ref="A27:H28" headerRowCount="1" totalsRowCount="0" totalsRowShown="0">
  <x:tableColumns count="8">
    <x:tableColumn id="1" name="Invoice"/>
    <x:tableColumn id="2" name="Pelanggan"/>
    <x:tableColumn id="3" name="Unit"/>
    <x:tableColumn id="4" name="Jenis"/>
    <x:tableColumn id="5" name="Jatuh tempo"/>
    <x:tableColumn id="6" name="Total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enuTable16" displayName="MenuTable16" ref="A40:H41" headerRowCount="1" totalsRowCount="0" totalsRowShown="0">
  <x:tableColumns count="8">
    <x:tableColumn id="1" name="Settlement"/>
    <x:tableColumn id="2" name="Kanal"/>
    <x:tableColumn id="3" name="Unit"/>
    <x:tableColumn id="4" name="Bruto Rp"/>
    <x:tableColumn id="5" name="Biaya Rp"/>
    <x:tableColumn id="6" name="Neto Rp"/>
    <x:tableColumn id="7" name="Diterima Rp"/>
    <x:tableColumn id="8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enuTable17" displayName="MenuTable17" ref="A53:H54" headerRowCount="1" totalsRowCount="0" totalsRowShown="0">
  <x:tableColumns count="8">
    <x:tableColumn id="1" name="Dokumen"/>
    <x:tableColumn id="2" name="Pelanggan"/>
    <x:tableColumn id="3" name="Unit"/>
    <x:tableColumn id="4" name="Jenis"/>
    <x:tableColumn id="5" name="Nilai Rp"/>
    <x:tableColumn id="6" name="Dialokasikan Rp"/>
    <x:tableColumn id="7" name="Status"/>
    <x:tableColumn id="8" name="Sumber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nuTable18" displayName="MenuTable18" ref="A14:H15" headerRowCount="1" totalsRowCount="0" totalsRowShown="0">
  <x:tableColumns count="8">
    <x:tableColumn id="1" name="Barang/kelompok"/>
    <x:tableColumn id="2" name="Unit"/>
    <x:tableColumn id="3" name="Satuan"/>
    <x:tableColumn id="4" name="Kuantitas"/>
    <x:tableColumn id="5" name="Nilai Rp"/>
    <x:tableColumn id="6" name="Tanggal posis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MenuTable19" displayName="MenuTable19" ref="A27:H28" headerRowCount="1" totalsRowCount="0" totalsRowShown="0">
  <x:tableColumns count="8">
    <x:tableColumn id="1" name="Dokumen"/>
    <x:tableColumn id="2" name="Tanggal"/>
    <x:tableColumn id="3" name="Unit"/>
    <x:tableColumn id="4" name="Jenis"/>
    <x:tableColumn id="5" name="Barang"/>
    <x:tableColumn id="6" name="Kuantitas"/>
    <x:tableColumn id="7" name="Nilai Rp"/>
    <x:tableColumn id="8" name="Statu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enuTable20" displayName="MenuTable20" ref="A40:H41" headerRowCount="1" totalsRowCount="0" totalsRowShown="0">
  <x:tableColumns count="8">
    <x:tableColumn id="1" name="Pengiriman"/>
    <x:tableColumn id="2" name="Dari"/>
    <x:tableColumn id="3" name="Ke"/>
    <x:tableColumn id="4" name="Tanggal kirim"/>
    <x:tableColumn id="5" name="Nilai Rp"/>
    <x:tableColumn id="6" name="Diterima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MenuTable21" displayName="MenuTable21" ref="A53:H54" headerRowCount="1" totalsRowCount="0" totalsRowShown="0">
  <x:tableColumns count="8">
    <x:tableColumn id="1" name="Opname"/>
    <x:tableColumn id="2" name="Unit"/>
    <x:tableColumn id="3" name="Barang"/>
    <x:tableColumn id="4" name="Buku qty"/>
    <x:tableColumn id="5" name="Fisik qty"/>
    <x:tableColumn id="6" name="Selisih qty"/>
    <x:tableColumn id="7" name="Dampak Rp"/>
    <x:tableColumn id="8" name="Statu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MenuTable22" displayName="MenuTable22" ref="A14:H15" headerRowCount="1" totalsRowCount="0" totalsRowShown="0">
  <x:tableColumns count="8">
    <x:tableColumn id="1" name="Pasangan"/>
    <x:tableColumn id="2" name="Unit"/>
    <x:tableColumn id="3" name="Lawan"/>
    <x:tableColumn id="4" name="Jenis hubungan"/>
    <x:tableColumn id="5" name="Saldo unit Rp"/>
    <x:tableColumn id="6" name="Saldo lawan Rp"/>
    <x:tableColumn id="7" name="Selisih Rp"/>
    <x:tableColumn id="8" name="Statu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MenuTable23" displayName="MenuTable23" ref="A27:H28" headerRowCount="1" totalsRowCount="0" totalsRowShown="0">
  <x:tableColumns count="8">
    <x:tableColumn id="1" name="Transaksi"/>
    <x:tableColumn id="2" name="Tanggal"/>
    <x:tableColumn id="3" name="Dari"/>
    <x:tableColumn id="4" name="Ke"/>
    <x:tableColumn id="5" name="Jenis"/>
    <x:tableColumn id="6" name="Nilai Rp"/>
    <x:tableColumn id="7" name="Sumber"/>
    <x:tableColumn id="8" name="Statu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MenuTable24" displayName="MenuTable24" ref="A40:H41" headerRowCount="1" totalsRowCount="0" totalsRowShown="0">
  <x:tableColumns count="8">
    <x:tableColumn id="1" name="Penyelesaian"/>
    <x:tableColumn id="2" name="Pembayar"/>
    <x:tableColumn id="3" name="Penerima"/>
    <x:tableColumn id="4" name="Jenis saldo"/>
    <x:tableColumn id="5" name="Nilai Rp"/>
    <x:tableColumn id="6" name="Pembayaran"/>
    <x:tableColumn id="7" name="Tanggal"/>
    <x:tableColumn id="8" name="Statu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MenuTable25" displayName="MenuTable25" ref="A53:H54" headerRowCount="1" totalsRowCount="0" totalsRowShown="0">
  <x:tableColumns count="8">
    <x:tableColumn id="1" name="Kasus"/>
    <x:tableColumn id="2" name="Unit"/>
    <x:tableColumn id="3" name="Lawan"/>
    <x:tableColumn id="4" name="Periode"/>
    <x:tableColumn id="5" name="Dokumen"/>
    <x:tableColumn id="6" name="Selisih Rp"/>
    <x:tableColumn id="7" name="Penyebab"/>
    <x:tableColumn id="8" name="Statu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MenuTable26" displayName="MenuTable26" ref="A14:H15" headerRowCount="1" totalsRowCount="0" totalsRowShown="0">
  <x:tableColumns count="8">
    <x:tableColumn id="1" name="Aset"/>
    <x:tableColumn id="2" name="Nama"/>
    <x:tableColumn id="3" name="Unit"/>
    <x:tableColumn id="4" name="Kelas"/>
    <x:tableColumn id="5" name="Perolehan Rp"/>
    <x:tableColumn id="6" name="Akumulasi Rp"/>
    <x:tableColumn id="7" name="Nilai buku Rp"/>
    <x:tableColumn id="8" name="Statu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MenuTable27" displayName="MenuTable27" ref="A27:H28" headerRowCount="1" totalsRowCount="0" totalsRowShown="0">
  <x:tableColumns count="8">
    <x:tableColumn id="1" name="Proyek"/>
    <x:tableColumn id="2" name="Unit"/>
    <x:tableColumn id="3" name="Penanggung jawab"/>
    <x:tableColumn id="4" name="Mulai"/>
    <x:tableColumn id="5" name="Biaya Rp"/>
    <x:tableColumn id="6" name="Dikapitalisasi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MenuTable28" displayName="MenuTable28" ref="A40:H41" headerRowCount="1" totalsRowCount="0" totalsRowShown="0">
  <x:tableColumns count="8">
    <x:tableColumn id="1" name="Aset/jadwal"/>
    <x:tableColumn id="2" name="Unit"/>
    <x:tableColumn id="3" name="Periode"/>
    <x:tableColumn id="4" name="Dasar Rp"/>
    <x:tableColumn id="5" name="Beban periode Rp"/>
    <x:tableColumn id="6" name="Sisa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MenuTable29" displayName="MenuTable29" ref="A53:H54" headerRowCount="1" totalsRowCount="0" totalsRowShown="0">
  <x:tableColumns count="8">
    <x:tableColumn id="1" name="Dokumen"/>
    <x:tableColumn id="2" name="Aset"/>
    <x:tableColumn id="3" name="Jenis"/>
    <x:tableColumn id="4" name="Dari"/>
    <x:tableColumn id="5" name="Ke/pihak"/>
    <x:tableColumn id="6" name="Nilai buku Rp"/>
    <x:tableColumn id="7" name="Tanggal"/>
    <x:tableColumn id="8" name="Statu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MenuTable30" displayName="MenuTable30" ref="A14:H15" headerRowCount="1" totalsRowCount="0" totalsRowShown="0">
  <x:tableColumns count="8">
    <x:tableColumn id="1" name="Batch"/>
    <x:tableColumn id="2" name="Periode"/>
    <x:tableColumn id="3" name="Unit"/>
    <x:tableColumn id="4" name="Pegawai"/>
    <x:tableColumn id="5" name="Bruto Rp"/>
    <x:tableColumn id="6" name="Potongan Rp"/>
    <x:tableColumn id="7" name="Neto Rp"/>
    <x:tableColumn id="8" name="Statu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MenuTable31" displayName="MenuTable31" ref="A27:H28" headerRowCount="1" totalsRowCount="0" totalsRowShown="0">
  <x:tableColumns count="8">
    <x:tableColumn id="1" name="Kewajiban"/>
    <x:tableColumn id="2" name="Batch"/>
    <x:tableColumn id="3" name="Unit"/>
    <x:tableColumn id="4" name="Penerima"/>
    <x:tableColumn id="5" name="Nilai Rp"/>
    <x:tableColumn id="6" name="Dibayar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MenuTable32" displayName="MenuTable32" ref="A40:H41" headerRowCount="1" totalsRowCount="0" totalsRowShown="0">
  <x:tableColumns count="8">
    <x:tableColumn id="1" name="Pinjaman"/>
    <x:tableColumn id="2" name="Pegawai"/>
    <x:tableColumn id="3" name="Unit"/>
    <x:tableColumn id="4" name="Pokok Rp"/>
    <x:tableColumn id="5" name="Dilunasi Rp"/>
    <x:tableColumn id="6" name="Sisa Rp"/>
    <x:tableColumn id="7" name="Cara pelunasan"/>
    <x:tableColumn id="8" name="Statu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MenuTable33" displayName="MenuTable33" ref="A53:H54" headerRowCount="1" totalsRowCount="0" totalsRowShown="0">
  <x:tableColumns count="8">
    <x:tableColumn id="1" name="Batch"/>
    <x:tableColumn id="2" name="Unit"/>
    <x:tableColumn id="3" name="Neto Rp"/>
    <x:tableColumn id="4" name="Kewajiban tercatat Rp"/>
    <x:tableColumn id="5" name="Dibayar Rp"/>
    <x:tableColumn id="6" name="Belum dibayar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MenuTable34" displayName="MenuTable34" ref="A14:H15" headerRowCount="1" totalsRowCount="0" totalsRowShown="0">
  <x:tableColumns count="8">
    <x:tableColumn id="1" name="Kewajiban"/>
    <x:tableColumn id="2" name="Jenis"/>
    <x:tableColumn id="3" name="Masa"/>
    <x:tableColumn id="4" name="Unit"/>
    <x:tableColumn id="5" name="Terutang Rp"/>
    <x:tableColumn id="6" name="Dibayar Rp"/>
    <x:tableColumn id="7" name="Sisa Rp"/>
    <x:tableColumn id="8" name="Status bayar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MenuTable35" displayName="MenuTable35" ref="A27:H28" headerRowCount="1" totalsRowCount="0" totalsRowShown="0">
  <x:tableColumns count="8">
    <x:tableColumn id="1" name="Dokumen"/>
    <x:tableColumn id="2" name="Jenis"/>
    <x:tableColumn id="3" name="Nomor referensi"/>
    <x:tableColumn id="4" name="Tanggal"/>
    <x:tableColumn id="5" name="Pihak"/>
    <x:tableColumn id="6" name="Nilai pajak Rp"/>
    <x:tableColumn id="7" name="Sumber"/>
    <x:tableColumn id="8" name="Status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MenuTable36" displayName="MenuTable36" ref="A40:H41" headerRowCount="1" totalsRowCount="0" totalsRowShown="0">
  <x:tableColumns count="8">
    <x:tableColumn id="1" name="Pembayaran"/>
    <x:tableColumn id="2" name="Kewajiban"/>
    <x:tableColumn id="3" name="Jenis"/>
    <x:tableColumn id="4" name="Masa"/>
    <x:tableColumn id="5" name="Nilai Rp"/>
    <x:tableColumn id="6" name="Tanggal bayar"/>
    <x:tableColumn id="7" name="Bukti bayar"/>
    <x:tableColumn id="8" name="Status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MenuTable37" displayName="MenuTable37" ref="A53:H54" headerRowCount="1" totalsRowCount="0" totalsRowShown="0">
  <x:tableColumns count="8">
    <x:tableColumn id="1" name="Pelaporan"/>
    <x:tableColumn id="2" name="Jenis"/>
    <x:tableColumn id="3" name="Masa"/>
    <x:tableColumn id="4" name="Unit"/>
    <x:tableColumn id="5" name="Tanggal lapor"/>
    <x:tableColumn id="6" name="Referensi tanda terima"/>
    <x:tableColumn id="7" name="Status lapor"/>
    <x:tableColumn id="8" name="Aksi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MenuTable38" displayName="MenuTable38" ref="A14:H15" headerRowCount="1" totalsRowCount="0" totalsRowShown="0">
  <x:tableColumns count="8">
    <x:tableColumn id="1" name="Pinjaman"/>
    <x:tableColumn id="2" name="Pemberi dana"/>
    <x:tableColumn id="3" name="Unit"/>
    <x:tableColumn id="4" name="Jenis"/>
    <x:tableColumn id="5" name="Pokok awal Rp"/>
    <x:tableColumn id="6" name="Pokok tersisa Rp"/>
    <x:tableColumn id="7" name="Jatuh tempo"/>
    <x:tableColumn id="8" name="Statu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MenuTable39" displayName="MenuTable39" ref="A27:H28" headerRowCount="1" totalsRowCount="0" totalsRowShown="0">
  <x:tableColumns count="8">
    <x:tableColumn id="1" name="Angsuran"/>
    <x:tableColumn id="2" name="Pinjaman"/>
    <x:tableColumn id="3" name="Jatuh tempo"/>
    <x:tableColumn id="4" name="Pokok Rp"/>
    <x:tableColumn id="5" name="Bunga Rp"/>
    <x:tableColumn id="6" name="Biaya Rp"/>
    <x:tableColumn id="7" name="Total Rp"/>
    <x:tableColumn id="8" name="Status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MenuTable40" displayName="MenuTable40" ref="A40:H41" headerRowCount="1" totalsRowCount="0" totalsRowShown="0">
  <x:tableColumns count="8">
    <x:tableColumn id="1" name="Transaksi"/>
    <x:tableColumn id="2" name="Pemilik"/>
    <x:tableColumn id="3" name="Unit"/>
    <x:tableColumn id="4" name="Jenis"/>
    <x:tableColumn id="5" name="Tanggal"/>
    <x:tableColumn id="6" name="Nilai Rp"/>
    <x:tableColumn id="7" name="Referensi kas"/>
    <x:tableColumn id="8" name="Statu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MenuTable41" displayName="MenuTable41" ref="A53:H54" headerRowCount="1" totalsRowCount="0" totalsRowShown="0">
  <x:tableColumns count="8">
    <x:tableColumn id="1" name="Unit"/>
    <x:tableColumn id="2" name="Periode"/>
    <x:tableColumn id="3" name="Saldo awal Rp"/>
    <x:tableColumn id="4" name="Setoran Rp"/>
    <x:tableColumn id="5" name="Distribusi Rp"/>
    <x:tableColumn id="6" name="Hasil periode Rp"/>
    <x:tableColumn id="7" name="Saldo akhir Rp"/>
    <x:tableColumn id="8" name="Aksi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MenuTable42" displayName="MenuTable42" ref="A14:H15" headerRowCount="1" totalsRowCount="0" totalsRowShown="0">
  <x:tableColumns count="8">
    <x:tableColumn id="1" name="Jurnal"/>
    <x:tableColumn id="2" name="Tanggal"/>
    <x:tableColumn id="3" name="Unit"/>
    <x:tableColumn id="4" name="Sumber"/>
    <x:tableColumn id="5" name="Debit Rp"/>
    <x:tableColumn id="6" name="Kredit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MenuTable43" displayName="MenuTable43" ref="A27:H28" headerRowCount="1" totalsRowCount="0" totalsRowShown="0">
  <x:tableColumns count="8">
    <x:tableColumn id="1" name="Jadwal"/>
    <x:tableColumn id="2" name="Jenis"/>
    <x:tableColumn id="3" name="Unit"/>
    <x:tableColumn id="4" name="Periode"/>
    <x:tableColumn id="5" name="Nilai Rp"/>
    <x:tableColumn id="6" name="Sumber"/>
    <x:tableColumn id="7" name="Status"/>
    <x:tableColumn id="8" name="Aksi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MenuTable44" displayName="MenuTable44" ref="A40:H41" headerRowCount="1" totalsRowCount="0" totalsRowShown="0">
  <x:tableColumns count="8">
    <x:tableColumn id="1" name="Rekonsiliasi"/>
    <x:tableColumn id="2" name="Kelompok"/>
    <x:tableColumn id="3" name="Unit"/>
    <x:tableColumn id="4" name="Periode"/>
    <x:tableColumn id="5" name="GL Rp"/>
    <x:tableColumn id="6" name="Rincian Rp"/>
    <x:tableColumn id="7" name="Selisih Rp"/>
    <x:tableColumn id="8" name="Status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MenuTable45" displayName="MenuTable45" ref="A53:H54" headerRowCount="1" totalsRowCount="0" totalsRowShown="0">
  <x:tableColumns count="8">
    <x:tableColumn id="1" name="Periode"/>
    <x:tableColumn id="2" name="Unit"/>
    <x:tableColumn id="3" name="Langkah"/>
    <x:tableColumn id="4" name="Pemilik"/>
    <x:tableColumn id="5" name="Tenggat"/>
    <x:tableColumn id="6" name="Status"/>
    <x:tableColumn id="7" name="Bukti"/>
    <x:tableColumn id="8" name="Aksi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MenuTable46" displayName="MenuTable46" ref="A14:H16" headerRowCount="1" totalsRowCount="0" totalsRowShown="0">
  <x:tableColumns count="8">
    <x:tableColumn id="1" name="Laporan"/>
    <x:tableColumn id="2" name="Periode"/>
    <x:tableColumn id="3" name="Lingkup"/>
    <x:tableColumn id="4" name="Versi"/>
    <x:tableColumn id="5" name="Status periode"/>
    <x:tableColumn id="6" name="Penanggung jawab"/>
    <x:tableColumn id="7" name="Diperbarui"/>
    <x:tableColumn id="8" name="Aksi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MenuTable47" displayName="MenuTable47" ref="A28:H29" headerRowCount="1" totalsRowCount="0" totalsRowShown="0">
  <x:tableColumns count="8">
    <x:tableColumn id="1" name="Kode akun"/>
    <x:tableColumn id="2" name="Nama akun"/>
    <x:tableColumn id="3" name="Unit"/>
    <x:tableColumn id="4" name="Awal Rp"/>
    <x:tableColumn id="5" name="Debit Rp"/>
    <x:tableColumn id="6" name="Kredit Rp"/>
    <x:tableColumn id="7" name="Akhir Rp"/>
    <x:tableColumn id="8" name="Aksi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MenuTable48" displayName="MenuTable48" ref="A41:H42" headerRowCount="1" totalsRowCount="0" totalsRowShown="0">
  <x:tableColumns count="8">
    <x:tableColumn id="1" name="Laporan"/>
    <x:tableColumn id="2" name="Periode posisi"/>
    <x:tableColumn id="3" name="Unit"/>
    <x:tableColumn id="4" name="Dimensi utama"/>
    <x:tableColumn id="5" name="Sumber register"/>
    <x:tableColumn id="6" name="Pemilik"/>
    <x:tableColumn id="7" name="Status data"/>
    <x:tableColumn id="8" name="Aksi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MenuTable49" displayName="MenuTable49" ref="A54:H55" headerRowCount="1" totalsRowCount="0" totalsRowShown="0">
  <x:tableColumns count="8">
    <x:tableColumn id="1" name="Paket"/>
    <x:tableColumn id="2" name="Periode"/>
    <x:tableColumn id="3" name="Cakupan unit"/>
    <x:tableColumn id="4" name="Unit siap"/>
    <x:tableColumn id="5" name="Unit belum siap"/>
    <x:tableColumn id="6" name="Eliminas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60" name="MenuTable60" displayName="MenuTable60" ref="A67:H72" headerRowCount="1" totalsRowCount="0" totalsRowShown="0">
  <x:tableColumns count="8">
    <x:tableColumn id="1" name="Pos laporan"/>
    <x:tableColumn id="2" name="Periode ini Rp"/>
    <x:tableColumn id="3" name="Pembanding Rp"/>
    <x:tableColumn id="4" name="Selisih Rp"/>
    <x:tableColumn id="5" name="Tingkat"/>
    <x:tableColumn id="6" name="Sumber"/>
    <x:tableColumn id="7" name="Tindakan"/>
    <x:tableColumn id="8" name="Tampilan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0" name="MenuTable50" displayName="MenuTable50" ref="A14:H15" headerRowCount="1" totalsRowCount="0" totalsRowShown="0">
  <x:tableColumns count="8">
    <x:tableColumn id="1" name="Kode akun"/>
    <x:tableColumn id="2" name="Nama akun"/>
    <x:tableColumn id="3" name="Level"/>
    <x:tableColumn id="4" name="Unit"/>
    <x:tableColumn id="5" name="Aktif"/>
    <x:tableColumn id="6" name="Izin posting"/>
    <x:tableColumn id="7" name="Kelompok laporan"/>
    <x:tableColumn id="8" name="Aksi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1" name="MenuTable51" displayName="MenuTable51" ref="A27:H28" headerRowCount="1" totalsRowCount="0" totalsRowShown="0">
  <x:tableColumns count="8">
    <x:tableColumn id="1" name="Kejadian"/>
    <x:tableColumn id="2" name="Peran akun"/>
    <x:tableColumn id="3" name="Unit"/>
    <x:tableColumn id="4" name="Bank/jenis"/>
    <x:tableColumn id="5" name="Akun tujuan"/>
    <x:tableColumn id="6" name="Aktivasi"/>
    <x:tableColumn id="7" name="Bukti uji"/>
    <x:tableColumn id="8" name="Aksi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2" name="MenuTable52" displayName="MenuTable52" ref="A40:H41" headerRowCount="1" totalsRowCount="0" totalsRowShown="0">
  <x:tableColumns count="8">
    <x:tableColumn id="1" name="Master"/>
    <x:tableColumn id="2" name="Kode"/>
    <x:tableColumn id="3" name="Nama"/>
    <x:tableColumn id="4" name="Unit"/>
    <x:tableColumn id="5" name="Jenis"/>
    <x:tableColumn id="6" name="Aktif"/>
    <x:tableColumn id="7" name="Kelengkapan"/>
    <x:tableColumn id="8" name="Aksi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3" name="MenuTable53" displayName="MenuTable53" ref="A53:H54" headerRowCount="1" totalsRowCount="0" totalsRowShown="0">
  <x:tableColumns count="8">
    <x:tableColumn id="1" name="Kebijakan"/>
    <x:tableColumn id="2" name="Lingkup"/>
    <x:tableColumn id="3" name="Berlaku mulai"/>
    <x:tableColumn id="4" name="Pemilik"/>
    <x:tableColumn id="5" name="Versi"/>
    <x:tableColumn id="6" name="Status"/>
    <x:tableColumn id="7" name="Referensi"/>
    <x:tableColumn id="8" name="Aksi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4" name="MenuTable54" displayName="MenuTable54" ref="A66:H67" headerRowCount="1" totalsRowCount="0" totalsRowShown="0">
  <x:tableColumns count="8">
    <x:tableColumn id="1" name="Peran"/>
    <x:tableColumn id="2" name="Menu"/>
    <x:tableColumn id="3" name="Cakupan unit"/>
    <x:tableColumn id="4" name="Lihat"/>
    <x:tableColumn id="5" name="Buat"/>
    <x:tableColumn id="6" name="Review"/>
    <x:tableColumn id="7" name="Eksekusi"/>
    <x:tableColumn id="8" name="Status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5" name="MenuTable55" displayName="MenuTable55" ref="A79:H80" headerRowCount="1" totalsRowCount="0" totalsRowShown="0">
  <x:tableColumns count="8">
    <x:tableColumn id="1" name="Perubahan"/>
    <x:tableColumn id="2" name="Waktu"/>
    <x:tableColumn id="3" name="Pelaku"/>
    <x:tableColumn id="4" name="Objek"/>
    <x:tableColumn id="5" name="Sebelum"/>
    <x:tableColumn id="6" name="Sesudah"/>
    <x:tableColumn id="7" name="Alasan"/>
    <x:tableColumn id="8" name="Referensi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6" name="MenuTable56" displayName="MenuTable56" ref="A5:H13" headerRowCount="1" totalsRowCount="0" totalsRowShown="0">
  <x:tableColumns count="8">
    <x:tableColumn id="1" name="Urutan"/>
    <x:tableColumn id="2" name="Waktu / pemicu"/>
    <x:tableColumn id="3" name="Pekerjaan"/>
    <x:tableColumn id="4" name="Menu masuk"/>
    <x:tableColumn id="5" name="Tab"/>
    <x:tableColumn id="6" name="Hasil yang diharapkan"/>
    <x:tableColumn id="7" name="Menu lanjutan"/>
    <x:tableColumn id="8" name="Kontrol utama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7" name="MenuTable57" displayName="MenuTable57" ref="A16:H29" headerRowCount="1" totalsRowCount="0" totalsRowShown="0">
  <x:tableColumns count="8">
    <x:tableColumn id="1" name="Alur bisnis"/>
    <x:tableColumn id="2" name="Pemicu / sumber"/>
    <x:tableColumn id="3" name="Pencatatan awal"/>
    <x:tableColumn id="4" name="Kontrol utama"/>
    <x:tableColumn id="5" name="Penyelesaian uang"/>
    <x:tableColumn id="6" name="Rekonsiliasi"/>
    <x:tableColumn id="7" name="Hasil laporan"/>
    <x:tableColumn id="8" name="ID yang dipertahankan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8" name="MenuTable58" displayName="MenuTable58" ref="A5:H15" headerRowCount="1" totalsRowCount="0" totalsRowShown="0">
  <x:tableColumns count="8">
    <x:tableColumn id="1" name="Bagian layar"/>
    <x:tableColumn id="2" name="Bentuk"/>
    <x:tableColumn id="3" name="Isi utama"/>
    <x:tableColumn id="4" name="Perilaku"/>
    <x:tableColumn id="5" name="Contoh"/>
    <x:tableColumn id="6" name="Batas"/>
    <x:tableColumn id="7" name="Pemilik"/>
    <x:tableColumn id="8" name="Keputusan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59" name="MenuTable59" displayName="MenuTable59" ref="A18:H27" headerRowCount="1" totalsRowCount="0" totalsRowShown="0">
  <x:tableColumns count="8">
    <x:tableColumn id="1" name="Pertemuan"/>
    <x:tableColumn id="2" name="Sumber dokumen"/>
    <x:tableColumn id="3" name="Pemilik proses"/>
    <x:tableColumn id="4" name="Menu yang menampilkan"/>
    <x:tableColumn id="5" name="Aksi yang dipakai bersama"/>
    <x:tableColumn id="6" name="Yang harus dicegah"/>
    <x:tableColumn id="7" name="Bukti penerimaan"/>
    <x:tableColumn id="8" name="Priori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3c8ff4f91f4b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9733c1d9554d96" /><Relationship Type="http://schemas.openxmlformats.org/officeDocument/2006/relationships/table" Target="/xl/tables/table3.xml" Id="Rd5645a8b57d24ace" /><Relationship Type="http://schemas.openxmlformats.org/officeDocument/2006/relationships/table" Target="/xl/tables/table4.xml" Id="R281edb02a28c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791faa2484c44e2b" /><Relationship Type="http://schemas.openxmlformats.org/officeDocument/2006/relationships/table" Target="/xl/tables/table6.xml" Id="R49fec798419540eb" /><Relationship Type="http://schemas.openxmlformats.org/officeDocument/2006/relationships/table" Target="/xl/tables/table7.xml" Id="R793aec876bcd4b2a" /><Relationship Type="http://schemas.openxmlformats.org/officeDocument/2006/relationships/table" Target="/xl/tables/table8.xml" Id="R0e17a6bd6ae1438a" /><Relationship Type="http://schemas.openxmlformats.org/officeDocument/2006/relationships/table" Target="/xl/tables/table9.xml" Id="R5852426ac74945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0.xml" Id="R649cf0f00dfc4af3" /><Relationship Type="http://schemas.openxmlformats.org/officeDocument/2006/relationships/table" Target="/xl/tables/table11.xml" Id="R26a6fe3e4a624c9b" /><Relationship Type="http://schemas.openxmlformats.org/officeDocument/2006/relationships/table" Target="/xl/tables/table12.xml" Id="R38b5ed9b43d5415c" /><Relationship Type="http://schemas.openxmlformats.org/officeDocument/2006/relationships/table" Target="/xl/tables/table13.xml" Id="R35f3ef61a52243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4.xml" Id="Ra61109f0c5ba4e91" /><Relationship Type="http://schemas.openxmlformats.org/officeDocument/2006/relationships/table" Target="/xl/tables/table15.xml" Id="Raff3ee02b6324e24" /><Relationship Type="http://schemas.openxmlformats.org/officeDocument/2006/relationships/table" Target="/xl/tables/table16.xml" Id="Radde4a34250945d4" /><Relationship Type="http://schemas.openxmlformats.org/officeDocument/2006/relationships/table" Target="/xl/tables/table17.xml" Id="R5c661910147449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8.xml" Id="R2a0ba46ec55f43eb" /><Relationship Type="http://schemas.openxmlformats.org/officeDocument/2006/relationships/table" Target="/xl/tables/table19.xml" Id="R67a94d348661436d" /><Relationship Type="http://schemas.openxmlformats.org/officeDocument/2006/relationships/table" Target="/xl/tables/table20.xml" Id="Rba04df32f06f450d" /><Relationship Type="http://schemas.openxmlformats.org/officeDocument/2006/relationships/table" Target="/xl/tables/table21.xml" Id="R7bc5ea050bda43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2.xml" Id="R9e79c0c875f2488a" /><Relationship Type="http://schemas.openxmlformats.org/officeDocument/2006/relationships/table" Target="/xl/tables/table23.xml" Id="R694c8b5c6164469f" /><Relationship Type="http://schemas.openxmlformats.org/officeDocument/2006/relationships/table" Target="/xl/tables/table24.xml" Id="R80bc5d3ec979499a" /><Relationship Type="http://schemas.openxmlformats.org/officeDocument/2006/relationships/table" Target="/xl/tables/table25.xml" Id="R289d966dd28f4c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6.xml" Id="R859a0211748d467f" /><Relationship Type="http://schemas.openxmlformats.org/officeDocument/2006/relationships/table" Target="/xl/tables/table27.xml" Id="R48e5e448d5ff4df8" /><Relationship Type="http://schemas.openxmlformats.org/officeDocument/2006/relationships/table" Target="/xl/tables/table28.xml" Id="R973fae6cf6544f29" /><Relationship Type="http://schemas.openxmlformats.org/officeDocument/2006/relationships/table" Target="/xl/tables/table29.xml" Id="Re673594f064f42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0.xml" Id="R1d39b0e882644942" /><Relationship Type="http://schemas.openxmlformats.org/officeDocument/2006/relationships/table" Target="/xl/tables/table31.xml" Id="R5ff6b4f4c1864e98" /><Relationship Type="http://schemas.openxmlformats.org/officeDocument/2006/relationships/table" Target="/xl/tables/table32.xml" Id="R56ef9f5ebabc4290" /><Relationship Type="http://schemas.openxmlformats.org/officeDocument/2006/relationships/table" Target="/xl/tables/table33.xml" Id="Rc08f3f580e5f41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4.xml" Id="Re7fe67ad8ea34a7d" /><Relationship Type="http://schemas.openxmlformats.org/officeDocument/2006/relationships/table" Target="/xl/tables/table35.xml" Id="Rd088819f4e9e478a" /><Relationship Type="http://schemas.openxmlformats.org/officeDocument/2006/relationships/table" Target="/xl/tables/table36.xml" Id="R8440c32943524736" /><Relationship Type="http://schemas.openxmlformats.org/officeDocument/2006/relationships/table" Target="/xl/tables/table37.xml" Id="Rc5ba7adbf70a47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8.xml" Id="R24c59308299d4deb" /><Relationship Type="http://schemas.openxmlformats.org/officeDocument/2006/relationships/table" Target="/xl/tables/table39.xml" Id="R5cfb5e16ea4b47f0" /><Relationship Type="http://schemas.openxmlformats.org/officeDocument/2006/relationships/table" Target="/xl/tables/table40.xml" Id="R8a047c046a304be5" /><Relationship Type="http://schemas.openxmlformats.org/officeDocument/2006/relationships/table" Target="/xl/tables/table41.xml" Id="R6701241f335f49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2.xml" Id="R4196227b03614b54" /><Relationship Type="http://schemas.openxmlformats.org/officeDocument/2006/relationships/table" Target="/xl/tables/table43.xml" Id="R65df028ce16041b6" /><Relationship Type="http://schemas.openxmlformats.org/officeDocument/2006/relationships/table" Target="/xl/tables/table44.xml" Id="R52245532aa8d4a39" /><Relationship Type="http://schemas.openxmlformats.org/officeDocument/2006/relationships/table" Target="/xl/tables/table45.xml" Id="R2684bea4bcc14f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6.xml" Id="R99a3d7c204464f62" /><Relationship Type="http://schemas.openxmlformats.org/officeDocument/2006/relationships/table" Target="/xl/tables/table47.xml" Id="R3d10b2759504429d" /><Relationship Type="http://schemas.openxmlformats.org/officeDocument/2006/relationships/table" Target="/xl/tables/table48.xml" Id="Rd041a728f6fa42cf" /><Relationship Type="http://schemas.openxmlformats.org/officeDocument/2006/relationships/table" Target="/xl/tables/table49.xml" Id="R0f9ab077b4404ae4" /><Relationship Type="http://schemas.openxmlformats.org/officeDocument/2006/relationships/table" Target="/xl/tables/table50.xml" Id="R66f965d0e27e48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51.xml" Id="R99c37a8a02a94ac2" /><Relationship Type="http://schemas.openxmlformats.org/officeDocument/2006/relationships/table" Target="/xl/tables/table52.xml" Id="R311c1feccbca4c90" /><Relationship Type="http://schemas.openxmlformats.org/officeDocument/2006/relationships/table" Target="/xl/tables/table53.xml" Id="Ref5e614112904f08" /><Relationship Type="http://schemas.openxmlformats.org/officeDocument/2006/relationships/table" Target="/xl/tables/table54.xml" Id="R9d3ce97d42ce4406" /><Relationship Type="http://schemas.openxmlformats.org/officeDocument/2006/relationships/table" Target="/xl/tables/table55.xml" Id="Rcc354ba898834f11" /><Relationship Type="http://schemas.openxmlformats.org/officeDocument/2006/relationships/table" Target="/xl/tables/table56.xml" Id="R7456e0f173234a2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57.xml" Id="R13b015a5905a4059" /><Relationship Type="http://schemas.openxmlformats.org/officeDocument/2006/relationships/table" Target="/xl/tables/table58.xml" Id="R4f7da7251f9749f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59.xml" Id="Ree19c533eba84af6" /><Relationship Type="http://schemas.openxmlformats.org/officeDocument/2006/relationships/table" Target="/xl/tables/table60.xml" Id="Rd8e0c1acfa4b45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Rancangan menu Finance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Usulan desain 11 September 2026. Contoh transaksi bersifat ilustrasi, bukan data produksi. Satu sheet per menu; blok di dalam sheet adalah tab aplikasi.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Urut</x:v>
      </x:c>
      <x:c r="B5" s="10" t="str">
        <x:v>Menu utama</x:v>
      </x:c>
      <x:c r="C5" s="10" t="str">
        <x:v>Tujuan</x:v>
      </x:c>
      <x:c r="D5" s="10" t="str">
        <x:v>Tab aplikasi</x:v>
      </x:c>
      <x:c r="E5" s="10" t="str">
        <x:v>Pengguna utama</x:v>
      </x:c>
      <x:c r="F5" s="10" t="str">
        <x:v>Sheet detail</x:v>
      </x:c>
      <x:c r="G5" s="10" t="str">
        <x:v>Keputusan review</x:v>
      </x:c>
      <x:c r="H5" s="10" t="str">
        <x:v>Catatan review</x:v>
      </x:c>
    </x:row>
    <x:row r="6" ht="102" customHeight="1">
      <x:c r="A6" s="8" t="n">
        <x:v>1</x:v>
      </x:c>
      <x:c r="B6" s="8" t="str">
        <x:v>Ringkasan</x:v>
      </x:c>
      <x:c r="C6" s="8" t="str">
        <x:v>Menentukan pekerjaan finance yang perlu didahulukan hari ini.</x:v>
      </x:c>
      <x:c r="D6" s="8" t="str">
        <x:v>Hari ini; Persetujuan saya; Pengecualian</x:v>
      </x:c>
      <x:c r="E6" s="8" t="str">
        <x:v>Finance lead dan petugas sesuai akses</x:v>
      </x:c>
      <x:c r="F6" s="8" t="str">
        <x:v>01 Ringkasan</x:v>
      </x:c>
      <x:c r="G6" s="11" t="str">
        <x:v>Belum ditinjau</x:v>
      </x:c>
      <x:c r="H6" s="11" t="str"/>
    </x:row>
    <x:row r="7" ht="102" customHeight="1">
      <x:c r="A7" s="8" t="n">
        <x:v>2</x:v>
      </x:c>
      <x:c r="B7" s="8" t="str">
        <x:v>Kas &amp; Bank</x:v>
      </x:c>
      <x:c r="C7" s="8" t="str">
        <x:v>Mengelola posisi kas, eksekusi uang masuk/keluar dan pencocokan bank.</x:v>
      </x:c>
      <x:c r="D7" s="8" t="str">
        <x:v>Rekening &amp; kas; Pembayaran &amp; penerimaan; Transfer &amp; kas kecil; Giro; Rekonsiliasi</x:v>
      </x:c>
      <x:c r="E7" s="8" t="str">
        <x:v>Treasury dan kasir</x:v>
      </x:c>
      <x:c r="F7" s="8" t="str">
        <x:v>02 Kas dan Bank</x:v>
      </x:c>
      <x:c r="G7" s="11" t="str">
        <x:v>Belum ditinjau</x:v>
      </x:c>
      <x:c r="H7" s="11" t="str"/>
    </x:row>
    <x:row r="8" ht="102" customHeight="1">
      <x:c r="A8" s="8" t="n">
        <x:v>3</x:v>
      </x:c>
      <x:c r="B8" s="8" t="str">
        <x:v>Tagihan &amp; Pengeluaran</x:v>
      </x:c>
      <x:c r="C8" s="8" t="str">
        <x:v>Mengelola kewajiban vendor dan pengeluaran sebelum eksekusi pembayaran.</x:v>
      </x:c>
      <x:c r="D8" s="8" t="str">
        <x:v>Tagihan; Klaim &amp; pengeluaran; Uang muka; Biaya dibayar di muka</x:v>
      </x:c>
      <x:c r="E8" s="8" t="str">
        <x:v>Accounts payable dan pemilik biaya</x:v>
      </x:c>
      <x:c r="F8" s="8" t="str">
        <x:v>03 Tagihan dan Pengeluaran</x:v>
      </x:c>
      <x:c r="G8" s="11" t="str">
        <x:v>Belum ditinjau</x:v>
      </x:c>
      <x:c r="H8" s="11" t="str"/>
    </x:row>
    <x:row r="9" ht="102" customHeight="1">
      <x:c r="A9" s="8" t="n">
        <x:v>4</x:v>
      </x:c>
      <x:c r="B9" s="8" t="str">
        <x:v>Penjualan &amp; Piutang</x:v>
      </x:c>
      <x:c r="C9" s="8" t="str">
        <x:v>Mengontrol pendapatan, tagihan pelanggan dan penerimaan dari kanal penjualan.</x:v>
      </x:c>
      <x:c r="D9" s="8" t="str">
        <x:v>Penjualan; Tagihan &amp; piutang; Settlement kanal; Uang muka &amp; pengembalian</x:v>
      </x:c>
      <x:c r="E9" s="8" t="str">
        <x:v>Accounts receivable dan finance toko</x:v>
      </x:c>
      <x:c r="F9" s="8" t="str">
        <x:v>04 Penjualan dan Piutang</x:v>
      </x:c>
      <x:c r="G9" s="11" t="str">
        <x:v>Belum ditinjau</x:v>
      </x:c>
      <x:c r="H9" s="11" t="str"/>
    </x:row>
    <x:row r="10" ht="102" customHeight="1">
      <x:c r="A10" s="8" t="n">
        <x:v>5</x:v>
      </x:c>
      <x:c r="B10" s="8" t="str">
        <x:v>Persediaan</x:v>
      </x:c>
      <x:c r="C10" s="8" t="str">
        <x:v>Mengontrol nilai persediaan, selisih fisik dan dampak keuangan pergerakan barang.</x:v>
      </x:c>
      <x:c r="D10" s="8" t="str">
        <x:v>Saldo &amp; mutasi; Penerimaan &amp; pemakaian; Dalam perjalanan; Opname &amp; penyesuaian</x:v>
      </x:c>
      <x:c r="E10" s="8" t="str">
        <x:v>Finance persediaan bersama gudang/toko</x:v>
      </x:c>
      <x:c r="F10" s="8" t="str">
        <x:v>05 Persediaan</x:v>
      </x:c>
      <x:c r="G10" s="11" t="str">
        <x:v>Belum ditinjau</x:v>
      </x:c>
      <x:c r="H10" s="11" t="str"/>
    </x:row>
    <x:row r="11" ht="102" customHeight="1">
      <x:c r="A11" s="8" t="n">
        <x:v>6</x:v>
      </x:c>
      <x:c r="B11" s="8" t="str">
        <x:v>Antarunit</x:v>
      </x:c>
      <x:c r="C11" s="8" t="str">
        <x:v>Mencocokkan dan menyelesaikan saldo antarunit atau afiliasi menurut jenis hubungan.</x:v>
      </x:c>
      <x:c r="D11" s="8" t="str">
        <x:v>Saldo &amp; pasangan; Transaksi; Penyelesaian; Rekonsiliasi</x:v>
      </x:c>
      <x:c r="E11" s="8" t="str">
        <x:v>Finance HO dan finance unit</x:v>
      </x:c>
      <x:c r="F11" s="8" t="str">
        <x:v>06 Antarunit</x:v>
      </x:c>
      <x:c r="G11" s="11" t="str">
        <x:v>Belum ditinjau</x:v>
      </x:c>
      <x:c r="H11" s="11" t="str"/>
    </x:row>
    <x:row r="12" ht="102" customHeight="1">
      <x:c r="A12" s="8" t="n">
        <x:v>7</x:v>
      </x:c>
      <x:c r="B12" s="8" t="str">
        <x:v>Aset &amp; Proyek</x:v>
      </x:c>
      <x:c r="C12" s="8" t="str">
        <x:v>Mengelola biaya pembangunan, kapitalisasi, umur manfaat dan pelepasan aset.</x:v>
      </x:c>
      <x:c r="D12" s="8" t="str">
        <x:v>Daftar aset; Proyek berjalan; Penyusutan &amp; amortisasi; Transfer &amp; pelepasan</x:v>
      </x:c>
      <x:c r="E12" s="8" t="str">
        <x:v>Akuntan aset dan pemilik proyek</x:v>
      </x:c>
      <x:c r="F12" s="8" t="str">
        <x:v>07 Aset dan Proyek</x:v>
      </x:c>
      <x:c r="G12" s="11" t="str">
        <x:v>Belum ditinjau</x:v>
      </x:c>
      <x:c r="H12" s="11" t="str"/>
    </x:row>
    <x:row r="13" ht="102" customHeight="1">
      <x:c r="A13" s="8" t="n">
        <x:v>8</x:v>
      </x:c>
      <x:c r="B13" s="8" t="str">
        <x:v>Payroll</x:v>
      </x:c>
      <x:c r="C13" s="8" t="str">
        <x:v>Menyelesaikan kewajiban pegawai berdasarkan payroll yang disetujui HR.</x:v>
      </x:c>
      <x:c r="D13" s="8" t="str">
        <x:v>Batch payroll; Kewajiban &amp; pembayaran; Pinjaman pegawai; Rekonsiliasi payroll</x:v>
      </x:c>
      <x:c r="E13" s="8" t="str">
        <x:v>Finance payroll dengan akses terbatas</x:v>
      </x:c>
      <x:c r="F13" s="8" t="str">
        <x:v>08 Payroll</x:v>
      </x:c>
      <x:c r="G13" s="11" t="str">
        <x:v>Belum ditinjau</x:v>
      </x:c>
      <x:c r="H13" s="11" t="str"/>
    </x:row>
    <x:row r="14" ht="102" customHeight="1">
      <x:c r="A14" s="8" t="n">
        <x:v>9</x:v>
      </x:c>
      <x:c r="B14" s="8" t="str">
        <x:v>Pajak</x:v>
      </x:c>
      <x:c r="C14" s="8" t="str">
        <x:v>Mengontrol dokumen, kewajiban, pembayaran dan pelaporan pajak.</x:v>
      </x:c>
      <x:c r="D14" s="8" t="str">
        <x:v>Kewajiban; Dokumen pajak; Pembayaran; Pelaporan</x:v>
      </x:c>
      <x:c r="E14" s="8" t="str">
        <x:v>Tim pajak</x:v>
      </x:c>
      <x:c r="F14" s="8" t="str">
        <x:v>09 Pajak</x:v>
      </x:c>
      <x:c r="G14" s="11" t="str">
        <x:v>Belum ditinjau</x:v>
      </x:c>
      <x:c r="H14" s="11" t="str"/>
    </x:row>
    <x:row r="15" ht="102" customHeight="1">
      <x:c r="A15" s="8" t="n">
        <x:v>10</x:v>
      </x:c>
      <x:c r="B15" s="8" t="str">
        <x:v>Pendanaan &amp; Modal</x:v>
      </x:c>
      <x:c r="C15" s="8" t="str">
        <x:v>Mengelola pinjaman eksternal dan transaksi pemilik, dengan register yang terpisah.</x:v>
      </x:c>
      <x:c r="D15" s="8" t="str">
        <x:v>Pinjaman; Angsuran &amp; biaya; Modal &amp; distribusi; Perubahan ekuitas</x:v>
      </x:c>
      <x:c r="E15" s="8" t="str">
        <x:v>Treasury untuk pinjaman; akuntan untuk modal</x:v>
      </x:c>
      <x:c r="F15" s="8" t="str">
        <x:v>10 Pendanaan dan Modal</x:v>
      </x:c>
      <x:c r="G15" s="11" t="str">
        <x:v>Belum ditinjau</x:v>
      </x:c>
      <x:c r="H15" s="11" t="str"/>
    </x:row>
    <x:row r="16" ht="102" customHeight="1">
      <x:c r="A16" s="8" t="n">
        <x:v>11</x:v>
      </x:c>
      <x:c r="B16" s="8" t="str">
        <x:v>Akuntansi &amp; Tutup Buku</x:v>
      </x:c>
      <x:c r="C16" s="8" t="str">
        <x:v>Mengontrol jurnal, pengakuan periodik, rekonsiliasi dan penutupan periode.</x:v>
      </x:c>
      <x:c r="D16" s="8" t="str">
        <x:v>Jurnal; Pengakuan periodik; Rekonsiliasi akun; Tutup periode</x:v>
      </x:c>
      <x:c r="E16" s="8" t="str">
        <x:v>Akuntan dan controller</x:v>
      </x:c>
      <x:c r="F16" s="8" t="str">
        <x:v>11 Akuntansi dan Tutup Buku</x:v>
      </x:c>
      <x:c r="G16" s="11" t="str">
        <x:v>Belum ditinjau</x:v>
      </x:c>
      <x:c r="H16" s="11" t="str"/>
    </x:row>
    <x:row r="17" ht="102" customHeight="1">
      <x:c r="A17" s="8" t="n">
        <x:v>12</x:v>
      </x:c>
      <x:c r="B17" s="8" t="str">
        <x:v>Laporan</x:v>
      </x:c>
      <x:c r="C17" s="8" t="str">
        <x:v>Menyajikan hasil dari buku besar dan register yang dapat ditelusuri ke sumber.</x:v>
      </x:c>
      <x:c r="D17" s="8" t="str">
        <x:v>Laporan keuangan; Buku besar &amp; neraca saldo; Operasional finance; Konsolidasi</x:v>
      </x:c>
      <x:c r="E17" s="8" t="str">
        <x:v>Manajemen dan finance sesuai akses</x:v>
      </x:c>
      <x:c r="F17" s="8" t="str">
        <x:v>12 Laporan</x:v>
      </x:c>
      <x:c r="G17" s="11" t="str">
        <x:v>Belum ditinjau</x:v>
      </x:c>
      <x:c r="H17" s="11" t="str"/>
    </x:row>
    <x:row r="18" ht="102" customHeight="1">
      <x:c r="A18" s="8" t="n">
        <x:v>13</x:v>
      </x:c>
      <x:c r="B18" s="8" t="str">
        <x:v>Pengaturan Finance</x:v>
      </x:c>
      <x:c r="C18" s="8" t="str">
        <x:v>Memelihara master, aturan dan akses yang digunakan seluruh menu.</x:v>
      </x:c>
      <x:c r="D18" s="8" t="str">
        <x:v>COA; Pemetaan transaksi; Rekening &amp; pihak; Kebijakan &amp; jadwal; Akses &amp; persetujuan; Riwayat perubahan</x:v>
      </x:c>
      <x:c r="E18" s="8" t="str">
        <x:v>Admin finance dengan reviewer berwenang</x:v>
      </x:c>
      <x:c r="F18" s="8" t="str">
        <x:v>13 Pengaturan Finance</x:v>
      </x:c>
      <x:c r="G18" s="11" t="str">
        <x:v>Belum ditinjau</x:v>
      </x:c>
      <x:c r="H18" s="11" t="str"/>
    </x:row>
    <x:row r="20" ht="40" customHeight="1">
      <x:c r="A20" s="15" t="str">
        <x:v>Cara membaca</x:v>
      </x:c>
      <x:c r="B20" s="14" t="str">
        <x:v>Mulai dari menu utama, buka sheet detail, lalu lihat setiap blok tab: tujuan, filter, contoh tabel, aksi, status, panel detail dan hubungan antarmenu.</x:v>
      </x:c>
      <x:c r="C20" s="14"/>
      <x:c r="D20" s="14"/>
      <x:c r="E20" s="14"/>
      <x:c r="F20" s="14"/>
      <x:c r="G20" s="14"/>
      <x:c r="H20" s="14"/>
    </x:row>
    <x:row r="21" ht="40" customHeight="1">
      <x:c r="A21" s="15" t="str">
        <x:v>Makna rancangan</x:v>
      </x:c>
      <x:c r="B21" s="14" t="str">
        <x:v>Ini target desain yang diusulkan berdasarkan audit COA dan prototipe. Nama tab, status dan kontrol baru tidak menyatakan fitur tersebut sudah tersedia.</x:v>
      </x:c>
      <x:c r="C21" s="14"/>
      <x:c r="D21" s="14"/>
      <x:c r="E21" s="14"/>
      <x:c r="F21" s="14"/>
      <x:c r="G21" s="14"/>
      <x:c r="H21" s="14"/>
    </x:row>
    <x:row r="22" ht="40" customHeight="1">
      <x:c r="A22" s="15" t="str">
        <x:v>Bentuk tampilan</x:v>
      </x:c>
      <x:c r="B22" s="14" t="str">
        <x:v>Halaman aplikasi: judul dan aksi utama, filter unit/periode, ringkasan, baris tab, filter tab, tabel, lalu panel detail. Excel menampilkan susunan dan isi, bukan aplikasi yang bisa diklik.</x:v>
      </x:c>
      <x:c r="C22" s="14"/>
      <x:c r="D22" s="14"/>
      <x:c r="E22" s="14"/>
      <x:c r="F22" s="14"/>
      <x:c r="G22" s="14"/>
      <x:c r="H22" s="14"/>
    </x:row>
    <x:row r="23" ht="40" customHeight="1">
      <x:c r="A23" s="15" t="str">
        <x:v>Batas cakupan</x:v>
      </x:c>
      <x:c r="B23" s="14" t="str">
        <x:v>Rancangan mencakup finance untuk penjualan, pembelian, persediaan, antarunit, aset, payroll, pajak dan pendanaan. Operasi POS, pembelian, HR dan gudang tetap menjadi sumber bisnis.</x:v>
      </x:c>
      <x:c r="C23" s="14"/>
      <x:c r="D23" s="14"/>
      <x:c r="E23" s="14"/>
      <x:c r="F23" s="14"/>
      <x:c r="G23" s="14"/>
      <x:c r="H23" s="14"/>
    </x:row>
    <x:row r="24" ht="40" customHeight="1">
      <x:c r="A24" s="15" t="str">
        <x:v>Review</x:v>
      </x:c>
      <x:c r="B24" s="14" t="str">
        <x:v>Kolom kuning dapat diisi keputusan dan catatan. Tidak ada perubahan aplikasi, kebijakan pajak, atau transaksi nyata dari workbook ini.</x:v>
      </x:c>
      <x:c r="C24" s="14"/>
      <x:c r="D24" s="14"/>
      <x:c r="E24" s="14"/>
      <x:c r="F24" s="14"/>
      <x:c r="G24" s="14"/>
      <x:c r="H24" s="14"/>
    </x:row>
  </x:sheetData>
  <x:mergeCells>
    <x:mergeCell ref="A1:H1"/>
    <x:mergeCell ref="A2:H3"/>
    <x:mergeCell ref="B20:H20"/>
    <x:mergeCell ref="B21:H21"/>
    <x:mergeCell ref="B22:H22"/>
    <x:mergeCell ref="B23:H23"/>
    <x:mergeCell ref="B24:H24"/>
  </x:mergeCells>
  <x:dataValidations count="1">
    <x:dataValidation type="list" sqref="G6:G18">
      <x:formula1>"Belum ditinjau,Setuju,Perlu revisi"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3c8ff4f91f4b8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Ringkasan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Menentukan pekerjaan finance yang perlu didahulukan hari ini.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lead dan petugas sesuai akses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Menampilkan antrean dari menu sumber. Persetujuan membuka dokumen sumber yang sama.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Saldo tersedia; pembayaran jatuh tempo; settlement tertunda; selisih rekonsiliasi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Angka gabungan harus mencakup unit yang dipilih; laporan saat ini belum mencakup semua unit.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Hari ini — tab awal</x:v>
      </x:c>
      <x:c r="B11" s="17" t="str">
        <x:v>1. Hari ini — tab awal</x:v>
      </x:c>
      <x:c r="C11" s="17" t="str">
        <x:v>1. Hari ini — tab awal</x:v>
      </x:c>
      <x:c r="D11" s="17" t="str">
        <x:v>1. Hari ini — tab awal</x:v>
      </x:c>
      <x:c r="E11" s="17" t="str">
        <x:v>1. Hari ini — tab awal</x:v>
      </x:c>
      <x:c r="F11" s="17" t="str">
        <x:v>1. Hari ini — tab awal</x:v>
      </x:c>
      <x:c r="G11" s="17" t="str">
        <x:v>1. Hari ini — tab awal</x:v>
      </x:c>
      <x:c r="H11" s="17" t="str">
        <x:v>1. Hari ini — tab awal</x:v>
      </x:c>
    </x:row>
    <x:row r="12" ht="32" customHeight="1">
      <x:c r="A12" s="15" t="str">
        <x:v>Tujuan tab</x:v>
      </x:c>
      <x:c r="B12" s="14" t="str">
        <x:v>Daftar prioritas dan ringkasan posisi kas.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Tanggal kerja; unit; penanggung jawab; jenis pekerjaan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Prioritas</x:v>
      </x:c>
      <x:c r="B14" s="10" t="str">
        <x:v>Pekerjaan</x:v>
      </x:c>
      <x:c r="C14" s="10" t="str">
        <x:v>Unit</x:v>
      </x:c>
      <x:c r="D14" s="10" t="str">
        <x:v>Referensi</x:v>
      </x:c>
      <x:c r="E14" s="10" t="str">
        <x:v>Nilai Rp</x:v>
      </x:c>
      <x:c r="F14" s="10" t="str">
        <x:v>Batas waktu</x:v>
      </x:c>
      <x:c r="G14" s="10" t="str">
        <x:v>Penanggung jawab</x:v>
      </x:c>
      <x:c r="H14" s="10" t="str">
        <x:v>Aksi</x:v>
      </x:c>
    </x:row>
    <x:row r="15" ht="48" customHeight="1">
      <x:c r="A15" s="8" t="str">
        <x:v>Tinggi</x:v>
      </x:c>
      <x:c r="B15" s="8" t="str">
        <x:v>Tagihan jatuh tempo</x:v>
      </x:c>
      <x:c r="C15" s="8" t="str">
        <x:v>HO</x:v>
      </x:c>
      <x:c r="D15" s="8" t="str">
        <x:v>BILL-003</x:v>
      </x:c>
      <x:c r="E15" s="18" t="n">
        <x:v>5000000</x:v>
      </x:c>
      <x:c r="F15" s="19" t="n">
        <x:v>46276</x:v>
      </x:c>
      <x:c r="G15" s="8" t="str">
        <x:v>AP</x:v>
      </x:c>
      <x:c r="H15" s="8" t="str">
        <x:v>Buka tagihan</x:v>
      </x:c>
    </x:row>
    <x:row r="16" ht="48" customHeight="1">
      <x:c r="A16" s="8" t="str">
        <x:v>Tinggi</x:v>
      </x:c>
      <x:c r="B16" s="8" t="str">
        <x:v>Settlement belum cocok</x:v>
      </x:c>
      <x:c r="C16" s="8" t="str">
        <x:v>C006</x:v>
      </x:c>
      <x:c r="D16" s="8" t="str">
        <x:v>SET-002</x:v>
      </x:c>
      <x:c r="E16" s="18" t="n">
        <x:v>970000</x:v>
      </x:c>
      <x:c r="F16" s="19" t="n">
        <x:v>46276</x:v>
      </x:c>
      <x:c r="G16" s="8" t="str">
        <x:v>Treasury</x:v>
      </x:c>
      <x:c r="H16" s="8" t="str">
        <x:v>Buka settlement</x:v>
      </x:c>
    </x:row>
    <x:row r="18" ht="32" customHeight="1">
      <x:c r="A18" s="15" t="str">
        <x:v>Tombol / tindakan</x:v>
      </x:c>
      <x:c r="B18" s="14" t="str">
        <x:v>Buka dokumen; ambil pekerjaan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Perlu tindakan; sedang ditangani; selesai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Saat baris dibuka</x:v>
      </x:c>
      <x:c r="B20" s="14" t="str">
        <x:v>Ringkasan penyebab, dokumen sumber, tenggat dan riwayat. Tidak ada form posting baru.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Antrean → menu pemilik → penyelesaian → ringkasan diperbarui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Persetujuan saya</x:v>
      </x:c>
      <x:c r="B25" s="17" t="str">
        <x:v>2. Persetujuan saya</x:v>
      </x:c>
      <x:c r="C25" s="17" t="str">
        <x:v>2. Persetujuan saya</x:v>
      </x:c>
      <x:c r="D25" s="17" t="str">
        <x:v>2. Persetujuan saya</x:v>
      </x:c>
      <x:c r="E25" s="17" t="str">
        <x:v>2. Persetujuan saya</x:v>
      </x:c>
      <x:c r="F25" s="17" t="str">
        <x:v>2. Persetujuan saya</x:v>
      </x:c>
      <x:c r="G25" s="17" t="str">
        <x:v>2. Persetujuan saya</x:v>
      </x:c>
      <x:c r="H25" s="17" t="str">
        <x:v>2. Persetujuan saya</x:v>
      </x:c>
    </x:row>
    <x:row r="26" ht="32" customHeight="1">
      <x:c r="A26" s="15" t="str">
        <x:v>Tujuan tab</x:v>
      </x:c>
      <x:c r="B26" s="14" t="str">
        <x:v>Persetujuan lintas pekerjaan sesuai kewenangan.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Jenis dokumen; pengaju; umur antrean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Dokumen</x:v>
      </x:c>
      <x:c r="B28" s="10" t="str">
        <x:v>Jenis</x:v>
      </x:c>
      <x:c r="C28" s="10" t="str">
        <x:v>Unit</x:v>
      </x:c>
      <x:c r="D28" s="10" t="str">
        <x:v>Pengaju</x:v>
      </x:c>
      <x:c r="E28" s="10" t="str">
        <x:v>Nilai Rp</x:v>
      </x:c>
      <x:c r="F28" s="10" t="str">
        <x:v>Diajukan</x:v>
      </x:c>
      <x:c r="G28" s="10" t="str">
        <x:v>Tahap</x:v>
      </x:c>
      <x:c r="H28" s="10" t="str">
        <x:v>Aksi</x:v>
      </x:c>
    </x:row>
    <x:row r="29" ht="48" customHeight="1">
      <x:c r="A29" s="8" t="str">
        <x:v>BILL-002</x:v>
      </x:c>
      <x:c r="B29" s="8" t="str">
        <x:v>Tagihan vendor</x:v>
      </x:c>
      <x:c r="C29" s="8" t="str">
        <x:v>C006</x:v>
      </x:c>
      <x:c r="D29" s="8" t="str">
        <x:v>Petugas AP</x:v>
      </x:c>
      <x:c r="E29" s="18" t="n">
        <x:v>2500000</x:v>
      </x:c>
      <x:c r="F29" s="19" t="n">
        <x:v>46275</x:v>
      </x:c>
      <x:c r="G29" s="8" t="str">
        <x:v>Menunggu reviewer</x:v>
      </x:c>
      <x:c r="H29" s="8" t="str">
        <x:v>Buka review</x:v>
      </x:c>
    </x:row>
    <x:row r="31" ht="32" customHeight="1">
      <x:c r="A31" s="15" t="str">
        <x:v>Tombol / tindakan</x:v>
      </x:c>
      <x:c r="B31" s="14" t="str">
        <x:v>Buka review; setujui; kembalikan dengan alasan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Status dokumen</x:v>
      </x:c>
      <x:c r="B32" s="14" t="str">
        <x:v>Menunggu; disetujui; dikembalikan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Saat baris dibuka</x:v>
      </x:c>
      <x:c r="B33" s="14" t="str">
        <x:v>Lampiran, rincian biaya, perubahan sejak pengajuan, dampak jurnal dan otorisasi. Aksi sesuai jenis dokumen.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Alur</x:v>
      </x:c>
      <x:c r="B34" s="14" t="str">
        <x:v>Dokumen sumber → review di konteks sumber → kembali ke antrean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Tampilan kosong</x:v>
      </x:c>
      <x:c r="B35" s="14" t="str">
        <x:v>Tampilkan “Belum ada data sesuai filter”, pilihan hapus filter, dan aksi membuat/mengambil data hanya bila pengguna berwenang.</x:v>
      </x:c>
      <x:c r="C35" s="14"/>
      <x:c r="D35" s="14"/>
      <x:c r="E35" s="14"/>
      <x:c r="F35" s="14"/>
      <x:c r="G35" s="14"/>
      <x:c r="H35" s="14"/>
    </x:row>
    <x:row r="38" ht="27" customHeight="1">
      <x:c r="A38" s="17" t="str">
        <x:v>3. Pengecualian</x:v>
      </x:c>
      <x:c r="B38" s="17" t="str">
        <x:v>3. Pengecualian</x:v>
      </x:c>
      <x:c r="C38" s="17" t="str">
        <x:v>3. Pengecualian</x:v>
      </x:c>
      <x:c r="D38" s="17" t="str">
        <x:v>3. Pengecualian</x:v>
      </x:c>
      <x:c r="E38" s="17" t="str">
        <x:v>3. Pengecualian</x:v>
      </x:c>
      <x:c r="F38" s="17" t="str">
        <x:v>3. Pengecualian</x:v>
      </x:c>
      <x:c r="G38" s="17" t="str">
        <x:v>3. Pengecualian</x:v>
      </x:c>
      <x:c r="H38" s="17" t="str">
        <x:v>3. Pengecualian</x:v>
      </x:c>
    </x:row>
    <x:row r="39" ht="32" customHeight="1">
      <x:c r="A39" s="15" t="str">
        <x:v>Tujuan tab</x:v>
      </x:c>
      <x:c r="B39" s="14" t="str">
        <x:v>Masalah yang menghambat transaksi atau penutupan.</x:v>
      </x:c>
      <x:c r="C39" s="14"/>
      <x:c r="D39" s="14"/>
      <x:c r="E39" s="14"/>
      <x:c r="F39" s="14"/>
      <x:c r="G39" s="14"/>
      <x:c r="H39" s="14"/>
    </x:row>
    <x:row r="40" ht="32" customHeight="1">
      <x:c r="A40" s="15" t="str">
        <x:v>Filter</x:v>
      </x:c>
      <x:c r="B40" s="14" t="str">
        <x:v>Kategori; unit; status; tanggal ditemukan</x:v>
      </x:c>
      <x:c r="C40" s="14"/>
      <x:c r="D40" s="14"/>
      <x:c r="E40" s="14"/>
      <x:c r="F40" s="14"/>
      <x:c r="G40" s="14"/>
      <x:c r="H40" s="14"/>
    </x:row>
    <x:row r="41" ht="36" customHeight="1">
      <x:c r="A41" s="10" t="str">
        <x:v>Kasus</x:v>
      </x:c>
      <x:c r="B41" s="10" t="str">
        <x:v>Jenis masalah</x:v>
      </x:c>
      <x:c r="C41" s="10" t="str">
        <x:v>Unit</x:v>
      </x:c>
      <x:c r="D41" s="10" t="str">
        <x:v>Referensi</x:v>
      </x:c>
      <x:c r="E41" s="10" t="str">
        <x:v>Ditemukan</x:v>
      </x:c>
      <x:c r="F41" s="10" t="str">
        <x:v>Penanggung jawab</x:v>
      </x:c>
      <x:c r="G41" s="10" t="str">
        <x:v>Status</x:v>
      </x:c>
      <x:c r="H41" s="10" t="str">
        <x:v>Aksi</x:v>
      </x:c>
    </x:row>
    <x:row r="42" ht="48" customHeight="1">
      <x:c r="A42" s="8" t="str">
        <x:v>EX-001</x:v>
      </x:c>
      <x:c r="B42" s="8" t="str">
        <x:v>Pemetaan bank belum ada</x:v>
      </x:c>
      <x:c r="C42" s="8" t="str">
        <x:v>HO</x:v>
      </x:c>
      <x:c r="D42" s="8" t="str">
        <x:v>GIRO-001</x:v>
      </x:c>
      <x:c r="E42" s="19" t="n">
        <x:v>46276</x:v>
      </x:c>
      <x:c r="F42" s="8" t="str">
        <x:v>Admin finance</x:v>
      </x:c>
      <x:c r="G42" s="8" t="str">
        <x:v>Terbuka</x:v>
      </x:c>
      <x:c r="H42" s="8" t="str">
        <x:v>Periksa pemetaan</x:v>
      </x:c>
    </x:row>
    <x:row r="44" ht="32" customHeight="1">
      <x:c r="A44" s="15" t="str">
        <x:v>Tombol / tindakan</x:v>
      </x:c>
      <x:c r="B44" s="14" t="str">
        <x:v>Buka sumber; tugaskan; tandai selesai setelah bukti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Status dokumen</x:v>
      </x:c>
      <x:c r="B45" s="14" t="str">
        <x:v>Terbuka; ditangani; teratasi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Saat baris dibuka</x:v>
      </x:c>
      <x:c r="B46" s="14" t="str">
        <x:v>Penyebab, dampak, bukti perbaikan, sumber transaksi. Status teratasi harus mengikuti hasil perbaikan.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Alur</x:v>
      </x:c>
      <x:c r="B47" s="14" t="str">
        <x:v>Deteksi masalah → owner terkait → verifikasi → tutup kasus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Tampilan kosong</x:v>
      </x:c>
      <x:c r="B48" s="14" t="str">
        <x:v>Tampilkan “Belum ada data sesuai filter”, pilihan hapus filter, dan aksi membuat/mengambil data hanya bila pengguna berwenang.</x:v>
      </x:c>
      <x:c r="C48" s="14"/>
      <x:c r="D48" s="14"/>
      <x:c r="E48" s="14"/>
      <x:c r="F48" s="14"/>
      <x:c r="G48" s="14"/>
      <x:c r="H48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1:H31"/>
    <x:mergeCell ref="B32:H32"/>
    <x:mergeCell ref="B33:H33"/>
    <x:mergeCell ref="B34:H34"/>
    <x:mergeCell ref="B35:H35"/>
    <x:mergeCell ref="A38:H38"/>
    <x:mergeCell ref="B39:H39"/>
    <x:mergeCell ref="B40:H40"/>
    <x:mergeCell ref="B44:H44"/>
    <x:mergeCell ref="B45:H45"/>
    <x:mergeCell ref="B46:H46"/>
    <x:mergeCell ref="B47:H47"/>
    <x:mergeCell ref="B48:H48"/>
  </x:mergeCells>
  <x:pageMargins left="0.7" right="0.7" top="0.75" bottom="0.75" header="0.3" footer="0.3"/>
  <x:tableParts count="3">
    <x:tablePart xmlns:r="http://schemas.openxmlformats.org/officeDocument/2006/relationships" r:id="Rf39733c1d9554d96"/>
    <x:tablePart xmlns:r="http://schemas.openxmlformats.org/officeDocument/2006/relationships" r:id="Rd5645a8b57d24ace"/>
    <x:tablePart xmlns:r="http://schemas.openxmlformats.org/officeDocument/2006/relationships" r:id="R281edb02a28c4f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Kas &amp; Bank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posisi kas, eksekusi uang masuk/keluar dan pencocokan bank.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Treasury dan kasir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Tagihan dan kewajiban dibuat di menu sumber. Kas &amp; Bank memiliki pembayaran dan instrumen, memakai referensi kewajiban tersebut.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Saldo buku; saldo bank; pembayaran tertunda; giro belum cair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Satukan register pembayaran; pilih akun outstanding giro sesuai bank; lengkapi pemetaan rekening yang diaktifkan.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Rekening &amp; kas — tab awal</x:v>
      </x:c>
      <x:c r="B11" s="17" t="str">
        <x:v>1. Rekening &amp; kas — tab awal</x:v>
      </x:c>
      <x:c r="C11" s="17" t="str">
        <x:v>1. Rekening &amp; kas — tab awal</x:v>
      </x:c>
      <x:c r="D11" s="17" t="str">
        <x:v>1. Rekening &amp; kas — tab awal</x:v>
      </x:c>
      <x:c r="E11" s="17" t="str">
        <x:v>1. Rekening &amp; kas — tab awal</x:v>
      </x:c>
      <x:c r="F11" s="17" t="str">
        <x:v>1. Rekening &amp; kas — tab awal</x:v>
      </x:c>
      <x:c r="G11" s="17" t="str">
        <x:v>1. Rekening &amp; kas — tab awal</x:v>
      </x:c>
      <x:c r="H11" s="17" t="str">
        <x:v>1. Rekening &amp; kas — tab awal</x:v>
      </x:c>
    </x:row>
    <x:row r="12" ht="32" customHeight="1">
      <x:c r="A12" s="15" t="str">
        <x:v>Tujuan tab</x:v>
      </x:c>
      <x:c r="B12" s="14" t="str">
        <x:v>Posisi tiap rekening dan kas kecil.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bank; jenis; aktif/nonaktif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Rekening</x:v>
      </x:c>
      <x:c r="B14" s="10" t="str">
        <x:v>Unit</x:v>
      </x:c>
      <x:c r="C14" s="10" t="str">
        <x:v>Jenis</x:v>
      </x:c>
      <x:c r="D14" s="10" t="str">
        <x:v>Mata uang</x:v>
      </x:c>
      <x:c r="E14" s="10" t="str">
        <x:v>Saldo buku Rp</x:v>
      </x:c>
      <x:c r="F14" s="10" t="str">
        <x:v>Saldo bank Rp</x:v>
      </x:c>
      <x:c r="G14" s="10" t="str">
        <x:v>Tanggal bank</x:v>
      </x:c>
      <x:c r="H14" s="10" t="str">
        <x:v>Aksi</x:v>
      </x:c>
    </x:row>
    <x:row r="15" ht="48" customHeight="1">
      <x:c r="A15" s="8" t="str">
        <x:v>Mandiri HO</x:v>
      </x:c>
      <x:c r="B15" s="8" t="str">
        <x:v>HO</x:v>
      </x:c>
      <x:c r="C15" s="8" t="str">
        <x:v>Bank</x:v>
      </x:c>
      <x:c r="D15" s="8" t="str">
        <x:v>IDR</x:v>
      </x:c>
      <x:c r="E15" s="18" t="n">
        <x:v>25000000</x:v>
      </x:c>
      <x:c r="F15" s="18" t="n">
        <x:v>25000000</x:v>
      </x:c>
      <x:c r="G15" s="19" t="n">
        <x:v>46276</x:v>
      </x:c>
      <x:c r="H15" s="8" t="str">
        <x:v>Lihat mutasi</x:v>
      </x:c>
    </x:row>
    <x:row r="16" ht="48" customHeight="1">
      <x:c r="A16" s="8" t="str">
        <x:v>Kas kecil C006</x:v>
      </x:c>
      <x:c r="B16" s="8" t="str">
        <x:v>C006</x:v>
      </x:c>
      <x:c r="C16" s="8" t="str">
        <x:v>Kas</x:v>
      </x:c>
      <x:c r="D16" s="8" t="str">
        <x:v>IDR</x:v>
      </x:c>
      <x:c r="E16" s="18" t="n">
        <x:v>1500000</x:v>
      </x:c>
      <x:c r="F16" s="18"/>
      <x:c r="G16" s="19"/>
      <x:c r="H16" s="8" t="str">
        <x:v>Lihat mutasi</x:v>
      </x:c>
    </x:row>
    <x:row r="18" ht="32" customHeight="1">
      <x:c r="A18" s="15" t="str">
        <x:v>Tombol / tindakan</x:v>
      </x:c>
      <x:c r="B18" s="14" t="str">
        <x:v>Lihat mutasi; transfer; isi kas kecil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Aktif; dibatasi; nonaktif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Saat baris dibuka</x:v>
      </x:c>
      <x:c r="B20" s="14" t="str">
        <x:v>Identitas rekening, saldo, mutasi, rekonsiliasi dan akses. Perubahan master membuka Pengaturan Finance.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Rekening → mutasi → dokumen asal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Pembayaran &amp; penerimaan</x:v>
      </x:c>
      <x:c r="B25" s="17" t="str">
        <x:v>2. Pembayaran &amp; penerimaan</x:v>
      </x:c>
      <x:c r="C25" s="17" t="str">
        <x:v>2. Pembayaran &amp; penerimaan</x:v>
      </x:c>
      <x:c r="D25" s="17" t="str">
        <x:v>2. Pembayaran &amp; penerimaan</x:v>
      </x:c>
      <x:c r="E25" s="17" t="str">
        <x:v>2. Pembayaran &amp; penerimaan</x:v>
      </x:c>
      <x:c r="F25" s="17" t="str">
        <x:v>2. Pembayaran &amp; penerimaan</x:v>
      </x:c>
      <x:c r="G25" s="17" t="str">
        <x:v>2. Pembayaran &amp; penerimaan</x:v>
      </x:c>
      <x:c r="H25" s="17" t="str">
        <x:v>2. Pembayaran &amp; penerimaan</x:v>
      </x:c>
    </x:row>
    <x:row r="26" ht="32" customHeight="1">
      <x:c r="A26" s="15" t="str">
        <x:v>Tujuan tab</x:v>
      </x:c>
      <x:c r="B26" s="14" t="str">
        <x:v>Satu register pergerakan uang lintas sumber.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Arah; rekening; unit; tanggal; sumber; status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ID pembayaran</x:v>
      </x:c>
      <x:c r="B28" s="10" t="str">
        <x:v>Tanggal</x:v>
      </x:c>
      <x:c r="C28" s="10" t="str">
        <x:v>Unit</x:v>
      </x:c>
      <x:c r="D28" s="10" t="str">
        <x:v>Arah</x:v>
      </x:c>
      <x:c r="E28" s="10" t="str">
        <x:v>Pihak</x:v>
      </x:c>
      <x:c r="F28" s="10" t="str">
        <x:v>Nilai Rp</x:v>
      </x:c>
      <x:c r="G28" s="10" t="str">
        <x:v>Status</x:v>
      </x:c>
      <x:c r="H28" s="10" t="str">
        <x:v>Dokumen sumber</x:v>
      </x:c>
    </x:row>
    <x:row r="29" ht="48" customHeight="1">
      <x:c r="A29" s="8" t="str">
        <x:v>PAY-001</x:v>
      </x:c>
      <x:c r="B29" s="19" t="n">
        <x:v>46276</x:v>
      </x:c>
      <x:c r="C29" s="8" t="str">
        <x:v>HO</x:v>
      </x:c>
      <x:c r="D29" s="8" t="str">
        <x:v>Keluar</x:v>
      </x:c>
      <x:c r="E29" s="8" t="str">
        <x:v>Vendor A</x:v>
      </x:c>
      <x:c r="F29" s="18" t="n">
        <x:v>5000000</x:v>
      </x:c>
      <x:c r="G29" s="8" t="str">
        <x:v>Tereksekusi</x:v>
      </x:c>
      <x:c r="H29" s="8" t="str">
        <x:v>BILL-001</x:v>
      </x:c>
    </x:row>
    <x:row r="30" ht="48" customHeight="1">
      <x:c r="A30" s="8" t="str">
        <x:v>RCPT-001</x:v>
      </x:c>
      <x:c r="B30" s="19" t="n">
        <x:v>46276</x:v>
      </x:c>
      <x:c r="C30" s="8" t="str">
        <x:v>C006</x:v>
      </x:c>
      <x:c r="D30" s="8" t="str">
        <x:v>Masuk</x:v>
      </x:c>
      <x:c r="E30" s="8" t="str">
        <x:v>Acquirer A</x:v>
      </x:c>
      <x:c r="F30" s="18" t="n">
        <x:v>970000</x:v>
      </x:c>
      <x:c r="G30" s="8" t="str">
        <x:v>Tereksekusi</x:v>
      </x:c>
      <x:c r="H30" s="8" t="str">
        <x:v>SET-001</x:v>
      </x:c>
    </x:row>
    <x:row r="32" ht="32" customHeight="1">
      <x:c r="A32" s="15" t="str">
        <x:v>Tombol / tindakan</x:v>
      </x:c>
      <x:c r="B32" s="14" t="str">
        <x:v>Siapkan pembayaran; eksekusi; alokasikan penerimaan; buka bukti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Status dokumen</x:v>
      </x:c>
      <x:c r="B33" s="14" t="str">
        <x:v>Draf; disetujui; diproses; tereksekusi; gagal; dibalik</x:v>
      </x:c>
      <x:c r="C33" s="14"/>
      <x:c r="D33" s="14"/>
      <x:c r="E33" s="14"/>
      <x:c r="F33" s="14"/>
      <x:c r="G33" s="14"/>
      <x:c r="H33" s="14"/>
    </x:row>
    <x:row r="34" ht="40" customHeight="1">
      <x:c r="A34" s="15" t="str">
        <x:v>Saat baris dibuka</x:v>
      </x:c>
      <x:c r="B34" s="14" t="str">
        <x:v>Rekening, metode, nominal, alokasi dokumen, referensi bank, bukti, jurnal. Beberapa tagihan boleh satu pembayaran dengan rincian alokasi.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Alur</x:v>
      </x:c>
      <x:c r="B35" s="14" t="str">
        <x:v>Kewajiban/settlement → pembayaran/penerimaan → jurnal → rekonsiliasi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Tampilan kosong</x:v>
      </x:c>
      <x:c r="B36" s="14" t="str">
        <x:v>Tampilkan “Belum ada data sesuai filter”, pilihan hapus filter, dan aksi membuat/mengambil data hanya bila pengguna berwenang.</x:v>
      </x:c>
      <x:c r="C36" s="14"/>
      <x:c r="D36" s="14"/>
      <x:c r="E36" s="14"/>
      <x:c r="F36" s="14"/>
      <x:c r="G36" s="14"/>
      <x:c r="H36" s="14"/>
    </x:row>
    <x:row r="39" ht="27" customHeight="1">
      <x:c r="A39" s="17" t="str">
        <x:v>3. Transfer &amp; kas kecil</x:v>
      </x:c>
      <x:c r="B39" s="17" t="str">
        <x:v>3. Transfer &amp; kas kecil</x:v>
      </x:c>
      <x:c r="C39" s="17" t="str">
        <x:v>3. Transfer &amp; kas kecil</x:v>
      </x:c>
      <x:c r="D39" s="17" t="str">
        <x:v>3. Transfer &amp; kas kecil</x:v>
      </x:c>
      <x:c r="E39" s="17" t="str">
        <x:v>3. Transfer &amp; kas kecil</x:v>
      </x:c>
      <x:c r="F39" s="17" t="str">
        <x:v>3. Transfer &amp; kas kecil</x:v>
      </x:c>
      <x:c r="G39" s="17" t="str">
        <x:v>3. Transfer &amp; kas kecil</x:v>
      </x:c>
      <x:c r="H39" s="17" t="str">
        <x:v>3. Transfer &amp; kas kecil</x:v>
      </x:c>
    </x:row>
    <x:row r="40" ht="32" customHeight="1">
      <x:c r="A40" s="15" t="str">
        <x:v>Tujuan tab</x:v>
      </x:c>
      <x:c r="B40" s="14" t="str">
        <x:v>Pemindahan uang dan pengisian kas kecil.</x:v>
      </x:c>
      <x:c r="C40" s="14"/>
      <x:c r="D40" s="14"/>
      <x:c r="E40" s="14"/>
      <x:c r="F40" s="14"/>
      <x:c r="G40" s="14"/>
      <x:c r="H40" s="14"/>
    </x:row>
    <x:row r="41" ht="32" customHeight="1">
      <x:c r="A41" s="15" t="str">
        <x:v>Filter</x:v>
      </x:c>
      <x:c r="B41" s="14" t="str">
        <x:v>Unit; rekening asal/tujuan; status</x:v>
      </x:c>
      <x:c r="C41" s="14"/>
      <x:c r="D41" s="14"/>
      <x:c r="E41" s="14"/>
      <x:c r="F41" s="14"/>
      <x:c r="G41" s="14"/>
      <x:c r="H41" s="14"/>
    </x:row>
    <x:row r="42" ht="36" customHeight="1">
      <x:c r="A42" s="10" t="str">
        <x:v>Transfer</x:v>
      </x:c>
      <x:c r="B42" s="10" t="str">
        <x:v>Tanggal</x:v>
      </x:c>
      <x:c r="C42" s="10" t="str">
        <x:v>Dari</x:v>
      </x:c>
      <x:c r="D42" s="10" t="str">
        <x:v>Ke</x:v>
      </x:c>
      <x:c r="E42" s="10" t="str">
        <x:v>Nilai Rp</x:v>
      </x:c>
      <x:c r="F42" s="10" t="str">
        <x:v>Biaya Rp</x:v>
      </x:c>
      <x:c r="G42" s="10" t="str">
        <x:v>Status</x:v>
      </x:c>
      <x:c r="H42" s="10" t="str">
        <x:v>Aksi</x:v>
      </x:c>
    </x:row>
    <x:row r="43" ht="48" customHeight="1">
      <x:c r="A43" s="8" t="str">
        <x:v>TRF-001</x:v>
      </x:c>
      <x:c r="B43" s="19" t="n">
        <x:v>46276</x:v>
      </x:c>
      <x:c r="C43" s="8" t="str">
        <x:v>Mandiri HO</x:v>
      </x:c>
      <x:c r="D43" s="8" t="str">
        <x:v>Kas kecil HO</x:v>
      </x:c>
      <x:c r="E43" s="18" t="n">
        <x:v>1000000</x:v>
      </x:c>
      <x:c r="F43" s="18" t="n">
        <x:v>0</x:v>
      </x:c>
      <x:c r="G43" s="8" t="str">
        <x:v>Tereksekusi</x:v>
      </x:c>
      <x:c r="H43" s="8" t="str">
        <x:v>Buka transfer</x:v>
      </x:c>
    </x:row>
    <x:row r="45" ht="32" customHeight="1">
      <x:c r="A45" s="15" t="str">
        <x:v>Tombol / tindakan</x:v>
      </x:c>
      <x:c r="B45" s="14" t="str">
        <x:v>Buat transfer; konfirmasi; buka bukti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Status dokumen</x:v>
      </x:c>
      <x:c r="B46" s="14" t="str">
        <x:v>Draf; disetujui; dikirim; diterima; dibalik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Saat baris dibuka</x:v>
      </x:c>
      <x:c r="B47" s="14" t="str">
        <x:v>Kedua rekening, bukti penyerahan, biaya dan pasangan mutasi. Transfer beda unit diarahkan ke Antarunit.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Alur</x:v>
      </x:c>
      <x:c r="B48" s="14" t="str">
        <x:v>Transfer satu unit → dua sisi kas/bank → cocokkan</x:v>
      </x:c>
      <x:c r="C48" s="14"/>
      <x:c r="D48" s="14"/>
      <x:c r="E48" s="14"/>
      <x:c r="F48" s="14"/>
      <x:c r="G48" s="14"/>
      <x:c r="H48" s="14"/>
    </x:row>
    <x:row r="49" ht="32" customHeight="1">
      <x:c r="A49" s="15" t="str">
        <x:v>Tampilan kosong</x:v>
      </x:c>
      <x:c r="B49" s="14" t="str">
        <x:v>Tampilkan “Belum ada data sesuai filter”, pilihan hapus filter, dan aksi membuat/mengambil data hanya bila pengguna berwenang.</x:v>
      </x:c>
      <x:c r="C49" s="14"/>
      <x:c r="D49" s="14"/>
      <x:c r="E49" s="14"/>
      <x:c r="F49" s="14"/>
      <x:c r="G49" s="14"/>
      <x:c r="H49" s="14"/>
    </x:row>
    <x:row r="52" ht="27" customHeight="1">
      <x:c r="A52" s="17" t="str">
        <x:v>4. Giro</x:v>
      </x:c>
      <x:c r="B52" s="17" t="str">
        <x:v>4. Giro</x:v>
      </x:c>
      <x:c r="C52" s="17" t="str">
        <x:v>4. Giro</x:v>
      </x:c>
      <x:c r="D52" s="17" t="str">
        <x:v>4. Giro</x:v>
      </x:c>
      <x:c r="E52" s="17" t="str">
        <x:v>4. Giro</x:v>
      </x:c>
      <x:c r="F52" s="17" t="str">
        <x:v>4. Giro</x:v>
      </x:c>
      <x:c r="G52" s="17" t="str">
        <x:v>4. Giro</x:v>
      </x:c>
      <x:c r="H52" s="17" t="str">
        <x:v>4. Giro</x:v>
      </x:c>
    </x:row>
    <x:row r="53" ht="32" customHeight="1">
      <x:c r="A53" s="15" t="str">
        <x:v>Tujuan tab</x:v>
      </x:c>
      <x:c r="B53" s="14" t="str">
        <x:v>Siklus instrumen giro hingga selesai.</x:v>
      </x:c>
      <x:c r="C53" s="14"/>
      <x:c r="D53" s="14"/>
      <x:c r="E53" s="14"/>
      <x:c r="F53" s="14"/>
      <x:c r="G53" s="14"/>
      <x:c r="H53" s="14"/>
    </x:row>
    <x:row r="54" ht="32" customHeight="1">
      <x:c r="A54" s="15" t="str">
        <x:v>Filter</x:v>
      </x:c>
      <x:c r="B54" s="14" t="str">
        <x:v>Bank; unit; jatuh tempo; status</x:v>
      </x:c>
      <x:c r="C54" s="14"/>
      <x:c r="D54" s="14"/>
      <x:c r="E54" s="14"/>
      <x:c r="F54" s="14"/>
      <x:c r="G54" s="14"/>
      <x:c r="H54" s="14"/>
    </x:row>
    <x:row r="55" ht="36" customHeight="1">
      <x:c r="A55" s="10" t="str">
        <x:v>Giro</x:v>
      </x:c>
      <x:c r="B55" s="10" t="str">
        <x:v>Bank</x:v>
      </x:c>
      <x:c r="C55" s="10" t="str">
        <x:v>Unit</x:v>
      </x:c>
      <x:c r="D55" s="10" t="str">
        <x:v>Penerima</x:v>
      </x:c>
      <x:c r="E55" s="10" t="str">
        <x:v>Nilai Rp</x:v>
      </x:c>
      <x:c r="F55" s="10" t="str">
        <x:v>Jatuh tempo</x:v>
      </x:c>
      <x:c r="G55" s="10" t="str">
        <x:v>Status</x:v>
      </x:c>
      <x:c r="H55" s="10" t="str">
        <x:v>Sumber</x:v>
      </x:c>
    </x:row>
    <x:row r="56" ht="48" customHeight="1">
      <x:c r="A56" s="8" t="str">
        <x:v>GIRO-001</x:v>
      </x:c>
      <x:c r="B56" s="8" t="str">
        <x:v>Mandiri</x:v>
      </x:c>
      <x:c r="C56" s="8" t="str">
        <x:v>HO</x:v>
      </x:c>
      <x:c r="D56" s="8" t="str">
        <x:v>Vendor C</x:v>
      </x:c>
      <x:c r="E56" s="18" t="n">
        <x:v>5000000</x:v>
      </x:c>
      <x:c r="F56" s="19" t="n">
        <x:v>46285</x:v>
      </x:c>
      <x:c r="G56" s="8" t="str">
        <x:v>Diterbitkan</x:v>
      </x:c>
      <x:c r="H56" s="8" t="str">
        <x:v>BILL-GIRO-001</x:v>
      </x:c>
    </x:row>
    <x:row r="58" ht="32" customHeight="1">
      <x:c r="A58" s="15" t="str">
        <x:v>Tombol / tindakan</x:v>
      </x:c>
      <x:c r="B58" s="14" t="str">
        <x:v>Terbitkan dari pembayaran; cairkan; batalkan; catat ditolak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Status dokumen</x:v>
      </x:c>
      <x:c r="B59" s="14" t="str">
        <x:v>Draf; diterbitkan; cair; ditolak; dibatalkan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Saat baris dibuka</x:v>
      </x:c>
      <x:c r="B60" s="14" t="str">
        <x:v>Nomor instrumen, bank, penerima, alokasi tagihan, outstanding giro, jurnal penerbitan/pencairan/pembalikan.</x:v>
      </x:c>
      <x:c r="C60" s="14"/>
      <x:c r="D60" s="14"/>
      <x:c r="E60" s="14"/>
      <x:c r="F60" s="14"/>
      <x:c r="G60" s="14"/>
      <x:c r="H60" s="14"/>
    </x:row>
    <x:row r="61" ht="32" customHeight="1">
      <x:c r="A61" s="15" t="str">
        <x:v>Alur</x:v>
      </x:c>
      <x:c r="B61" s="14" t="str">
        <x:v>Tagihan → instrumen giro → pencairan → rekonsiliasi</x:v>
      </x:c>
      <x:c r="C61" s="14"/>
      <x:c r="D61" s="14"/>
      <x:c r="E61" s="14"/>
      <x:c r="F61" s="14"/>
      <x:c r="G61" s="14"/>
      <x:c r="H61" s="14"/>
    </x:row>
    <x:row r="62" ht="32" customHeight="1">
      <x:c r="A62" s="15" t="str">
        <x:v>Tampilan kosong</x:v>
      </x:c>
      <x:c r="B62" s="14" t="str">
        <x:v>Tampilkan “Belum ada data sesuai filter”, pilihan hapus filter, dan aksi membuat/mengambil data hanya bila pengguna berwenang.</x:v>
      </x:c>
      <x:c r="C62" s="14"/>
      <x:c r="D62" s="14"/>
      <x:c r="E62" s="14"/>
      <x:c r="F62" s="14"/>
      <x:c r="G62" s="14"/>
      <x:c r="H62" s="14"/>
    </x:row>
    <x:row r="65" ht="27" customHeight="1">
      <x:c r="A65" s="17" t="str">
        <x:v>5. Rekonsiliasi</x:v>
      </x:c>
      <x:c r="B65" s="17" t="str">
        <x:v>5. Rekonsiliasi</x:v>
      </x:c>
      <x:c r="C65" s="17" t="str">
        <x:v>5. Rekonsiliasi</x:v>
      </x:c>
      <x:c r="D65" s="17" t="str">
        <x:v>5. Rekonsiliasi</x:v>
      </x:c>
      <x:c r="E65" s="17" t="str">
        <x:v>5. Rekonsiliasi</x:v>
      </x:c>
      <x:c r="F65" s="17" t="str">
        <x:v>5. Rekonsiliasi</x:v>
      </x:c>
      <x:c r="G65" s="17" t="str">
        <x:v>5. Rekonsiliasi</x:v>
      </x:c>
      <x:c r="H65" s="17" t="str">
        <x:v>5. Rekonsiliasi</x:v>
      </x:c>
    </x:row>
    <x:row r="66" ht="32" customHeight="1">
      <x:c r="A66" s="15" t="str">
        <x:v>Tujuan tab</x:v>
      </x:c>
      <x:c r="B66" s="14" t="str">
        <x:v>Mencocokkan mutasi bank dengan transaksi buku.</x:v>
      </x:c>
      <x:c r="C66" s="14"/>
      <x:c r="D66" s="14"/>
      <x:c r="E66" s="14"/>
      <x:c r="F66" s="14"/>
      <x:c r="G66" s="14"/>
      <x:c r="H66" s="14"/>
    </x:row>
    <x:row r="67" ht="32" customHeight="1">
      <x:c r="A67" s="15" t="str">
        <x:v>Filter</x:v>
      </x:c>
      <x:c r="B67" s="14" t="str">
        <x:v>Rekening; periode; cocok/belum cocok; arah</x:v>
      </x:c>
      <x:c r="C67" s="14"/>
      <x:c r="D67" s="14"/>
      <x:c r="E67" s="14"/>
      <x:c r="F67" s="14"/>
      <x:c r="G67" s="14"/>
      <x:c r="H67" s="14"/>
    </x:row>
    <x:row r="68" ht="36" customHeight="1">
      <x:c r="A68" s="10" t="str">
        <x:v>Baris bank</x:v>
      </x:c>
      <x:c r="B68" s="10" t="str">
        <x:v>Tanggal</x:v>
      </x:c>
      <x:c r="C68" s="10" t="str">
        <x:v>Rekening</x:v>
      </x:c>
      <x:c r="D68" s="10" t="str">
        <x:v>Uraian</x:v>
      </x:c>
      <x:c r="E68" s="10" t="str">
        <x:v>Nilai Rp</x:v>
      </x:c>
      <x:c r="F68" s="10" t="str">
        <x:v>Pasangan buku</x:v>
      </x:c>
      <x:c r="G68" s="10" t="str">
        <x:v>Status</x:v>
      </x:c>
      <x:c r="H68" s="10" t="str">
        <x:v>Aksi</x:v>
      </x:c>
    </x:row>
    <x:row r="69" ht="48" customHeight="1">
      <x:c r="A69" s="8" t="str">
        <x:v>BNK-001</x:v>
      </x:c>
      <x:c r="B69" s="19" t="n">
        <x:v>46276</x:v>
      </x:c>
      <x:c r="C69" s="8" t="str">
        <x:v>Mandiri HO</x:v>
      </x:c>
      <x:c r="D69" s="8" t="str">
        <x:v>Transfer Vendor A</x:v>
      </x:c>
      <x:c r="E69" s="18" t="n">
        <x:v>-5000000</x:v>
      </x:c>
      <x:c r="F69" s="8" t="str">
        <x:v>PAY-001</x:v>
      </x:c>
      <x:c r="G69" s="8" t="str">
        <x:v>Cocok</x:v>
      </x:c>
      <x:c r="H69" s="8" t="str">
        <x:v>Lihat pasangan</x:v>
      </x:c>
    </x:row>
    <x:row r="70" ht="48" customHeight="1">
      <x:c r="A70" s="8" t="str">
        <x:v>BNK-002</x:v>
      </x:c>
      <x:c r="B70" s="19" t="n">
        <x:v>46276</x:v>
      </x:c>
      <x:c r="C70" s="8" t="str">
        <x:v>Mandiri HO</x:v>
      </x:c>
      <x:c r="D70" s="8" t="str">
        <x:v>Administrasi bank</x:v>
      </x:c>
      <x:c r="E70" s="18" t="n">
        <x:v>-15000</x:v>
      </x:c>
      <x:c r="F70" s="8"/>
      <x:c r="G70" s="8" t="str">
        <x:v>Belum cocok</x:v>
      </x:c>
      <x:c r="H70" s="8" t="str">
        <x:v>Tinjau</x:v>
      </x:c>
    </x:row>
    <x:row r="72" ht="32" customHeight="1">
      <x:c r="A72" s="15" t="str">
        <x:v>Tombol / tindakan</x:v>
      </x:c>
      <x:c r="B72" s="14" t="str">
        <x:v>Impor mutasi; cocokkan; lepas pasangan; buat biaya dari mutasi</x:v>
      </x:c>
      <x:c r="C72" s="14"/>
      <x:c r="D72" s="14"/>
      <x:c r="E72" s="14"/>
      <x:c r="F72" s="14"/>
      <x:c r="G72" s="14"/>
      <x:c r="H72" s="14"/>
    </x:row>
    <x:row r="73" ht="32" customHeight="1">
      <x:c r="A73" s="15" t="str">
        <x:v>Status dokumen</x:v>
      </x:c>
      <x:c r="B73" s="14" t="str">
        <x:v>Belum cocok; cocok sebagian; cocok; perlu tinjau</x:v>
      </x:c>
      <x:c r="C73" s="14"/>
      <x:c r="D73" s="14"/>
      <x:c r="E73" s="14"/>
      <x:c r="F73" s="14"/>
      <x:c r="G73" s="14"/>
      <x:c r="H73" s="14"/>
    </x:row>
    <x:row r="74" ht="32" customHeight="1">
      <x:c r="A74" s="15" t="str">
        <x:v>Saat baris dibuka</x:v>
      </x:c>
      <x:c r="B74" s="14" t="str">
        <x:v>Baris bank, kandidat buku, jumlah alokasi, alasan selisih. Biaya dari mutasi memakai sumber bank unik agar tidak terduplikasi.</x:v>
      </x:c>
      <x:c r="C74" s="14"/>
      <x:c r="D74" s="14"/>
      <x:c r="E74" s="14"/>
      <x:c r="F74" s="14"/>
      <x:c r="G74" s="14"/>
      <x:c r="H74" s="14"/>
    </x:row>
    <x:row r="75" ht="32" customHeight="1">
      <x:c r="A75" s="15" t="str">
        <x:v>Alur</x:v>
      </x:c>
      <x:c r="B75" s="14" t="str">
        <x:v>Mutasi bank → pasangan pembayaran/jurnal → selisih ditangani</x:v>
      </x:c>
      <x:c r="C75" s="14"/>
      <x:c r="D75" s="14"/>
      <x:c r="E75" s="14"/>
      <x:c r="F75" s="14"/>
      <x:c r="G75" s="14"/>
      <x:c r="H75" s="14"/>
    </x:row>
    <x:row r="76" ht="32" customHeight="1">
      <x:c r="A76" s="15" t="str">
        <x:v>Tampilan kosong</x:v>
      </x:c>
      <x:c r="B76" s="14" t="str">
        <x:v>Tampilkan “Belum ada data sesuai filter”, pilihan hapus filter, dan aksi membuat/mengambil data hanya bila pengguna berwenang.</x:v>
      </x:c>
      <x:c r="C76" s="14"/>
      <x:c r="D76" s="14"/>
      <x:c r="E76" s="14"/>
      <x:c r="F76" s="14"/>
      <x:c r="G76" s="14"/>
      <x:c r="H76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2:H32"/>
    <x:mergeCell ref="B33:H33"/>
    <x:mergeCell ref="B34:H34"/>
    <x:mergeCell ref="B35:H35"/>
    <x:mergeCell ref="B36:H36"/>
    <x:mergeCell ref="A39:H39"/>
    <x:mergeCell ref="B40:H40"/>
    <x:mergeCell ref="B41:H41"/>
    <x:mergeCell ref="B45:H45"/>
    <x:mergeCell ref="B46:H46"/>
    <x:mergeCell ref="B47:H47"/>
    <x:mergeCell ref="B48:H48"/>
    <x:mergeCell ref="B49:H49"/>
    <x:mergeCell ref="A52:H52"/>
    <x:mergeCell ref="B53:H53"/>
    <x:mergeCell ref="B54:H54"/>
    <x:mergeCell ref="B58:H58"/>
    <x:mergeCell ref="B59:H59"/>
    <x:mergeCell ref="B60:H60"/>
    <x:mergeCell ref="B61:H61"/>
    <x:mergeCell ref="B62:H62"/>
    <x:mergeCell ref="A65:H65"/>
    <x:mergeCell ref="B66:H66"/>
    <x:mergeCell ref="B67:H67"/>
    <x:mergeCell ref="B72:H72"/>
    <x:mergeCell ref="B73:H73"/>
    <x:mergeCell ref="B74:H74"/>
    <x:mergeCell ref="B75:H75"/>
    <x:mergeCell ref="B76:H76"/>
  </x:mergeCells>
  <x:pageMargins left="0.7" right="0.7" top="0.75" bottom="0.75" header="0.3" footer="0.3"/>
  <x:tableParts count="5">
    <x:tablePart xmlns:r="http://schemas.openxmlformats.org/officeDocument/2006/relationships" r:id="R791faa2484c44e2b"/>
    <x:tablePart xmlns:r="http://schemas.openxmlformats.org/officeDocument/2006/relationships" r:id="R49fec798419540eb"/>
    <x:tablePart xmlns:r="http://schemas.openxmlformats.org/officeDocument/2006/relationships" r:id="R793aec876bcd4b2a"/>
    <x:tablePart xmlns:r="http://schemas.openxmlformats.org/officeDocument/2006/relationships" r:id="R0e17a6bd6ae1438a"/>
    <x:tablePart xmlns:r="http://schemas.openxmlformats.org/officeDocument/2006/relationships" r:id="R5852426ac74945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Tagihan &amp; Pengeluaran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kewajiban vendor dan pengeluaran sebelum eksekusi pembayaran.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Accounts payable dan pemilik biaya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Mengakui dan memverifikasi tagihan/biaya. Tombol bayar memakai pembayaran yang dimiliki Kas &amp; Bank.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Tagihan belum lunas; jatuh tempo; uang muka terbuka; biaya dibayar di muka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Jenis biaya tidak boleh selalu listrik; likuidasi uang muka tidak boleh selalu housekeeping.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Tagihan — tab awal</x:v>
      </x:c>
      <x:c r="B11" s="17" t="str">
        <x:v>1. Tagihan — tab awal</x:v>
      </x:c>
      <x:c r="C11" s="17" t="str">
        <x:v>1. Tagihan — tab awal</x:v>
      </x:c>
      <x:c r="D11" s="17" t="str">
        <x:v>1. Tagihan — tab awal</x:v>
      </x:c>
      <x:c r="E11" s="17" t="str">
        <x:v>1. Tagihan — tab awal</x:v>
      </x:c>
      <x:c r="F11" s="17" t="str">
        <x:v>1. Tagihan — tab awal</x:v>
      </x:c>
      <x:c r="G11" s="17" t="str">
        <x:v>1. Tagihan — tab awal</x:v>
      </x:c>
      <x:c r="H11" s="17" t="str">
        <x:v>1. Tagihan — tab awal</x:v>
      </x:c>
    </x:row>
    <x:row r="12" ht="32" customHeight="1">
      <x:c r="A12" s="15" t="str">
        <x:v>Tujuan tab</x:v>
      </x:c>
      <x:c r="B12" s="14" t="str">
        <x:v>Daftar tagihan vendor termasuk jatuh tempo dan sisa kewajiban.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Vendor; unit; jatuh tempo; jenis biaya;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Tagihan</x:v>
      </x:c>
      <x:c r="B14" s="10" t="str">
        <x:v>Vendor</x:v>
      </x:c>
      <x:c r="C14" s="10" t="str">
        <x:v>Unit</x:v>
      </x:c>
      <x:c r="D14" s="10" t="str">
        <x:v>Tanggal</x:v>
      </x:c>
      <x:c r="E14" s="10" t="str">
        <x:v>Jatuh tempo</x:v>
      </x:c>
      <x:c r="F14" s="10" t="str">
        <x:v>Total Rp</x:v>
      </x:c>
      <x:c r="G14" s="10" t="str">
        <x:v>Sisa Rp</x:v>
      </x:c>
      <x:c r="H14" s="10" t="str">
        <x:v>Status</x:v>
      </x:c>
    </x:row>
    <x:row r="15" ht="48" customHeight="1">
      <x:c r="A15" s="8" t="str">
        <x:v>BILL-001</x:v>
      </x:c>
      <x:c r="B15" s="8" t="str">
        <x:v>Vendor A</x:v>
      </x:c>
      <x:c r="C15" s="8" t="str">
        <x:v>HO</x:v>
      </x:c>
      <x:c r="D15" s="19" t="n">
        <x:v>46270</x:v>
      </x:c>
      <x:c r="E15" s="19" t="n">
        <x:v>46276</x:v>
      </x:c>
      <x:c r="F15" s="18" t="n">
        <x:v>5000000</x:v>
      </x:c>
      <x:c r="G15" s="18" t="n">
        <x:v>0</x:v>
      </x:c>
      <x:c r="H15" s="8" t="str">
        <x:v>Lunas</x:v>
      </x:c>
    </x:row>
    <x:row r="16" ht="48" customHeight="1">
      <x:c r="A16" s="8" t="str">
        <x:v>BILL-002</x:v>
      </x:c>
      <x:c r="B16" s="8" t="str">
        <x:v>Vendor B</x:v>
      </x:c>
      <x:c r="C16" s="8" t="str">
        <x:v>C006</x:v>
      </x:c>
      <x:c r="D16" s="19" t="n">
        <x:v>46275</x:v>
      </x:c>
      <x:c r="E16" s="19" t="n">
        <x:v>46285</x:v>
      </x:c>
      <x:c r="F16" s="18" t="n">
        <x:v>2500000</x:v>
      </x:c>
      <x:c r="G16" s="18" t="n">
        <x:v>2500000</x:v>
      </x:c>
      <x:c r="H16" s="8" t="str">
        <x:v>Menunggu review</x:v>
      </x:c>
    </x:row>
    <x:row r="18" ht="32" customHeight="1">
      <x:c r="A18" s="15" t="str">
        <x:v>Tombol / tindakan</x:v>
      </x:c>
      <x:c r="B18" s="14" t="str">
        <x:v>Buat tagihan; ajukan; review; bayar; koreksi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Draf; menunggu review; disetujui; sebagian dibayar; lunas; dibatalkan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Saat baris dibuka</x:v>
      </x:c>
      <x:c r="B20" s="14" t="str">
        <x:v>Header vendor, baris barang/jasa/biaya, pajak, PO/penerimaan jika ada, lampiran, pembayaran, jurnal, riwayat.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PO/penerimaan atau jasa → tagihan → review → Kas &amp; Bank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Klaim &amp; pengeluaran</x:v>
      </x:c>
      <x:c r="B25" s="17" t="str">
        <x:v>2. Klaim &amp; pengeluaran</x:v>
      </x:c>
      <x:c r="C25" s="17" t="str">
        <x:v>2. Klaim &amp; pengeluaran</x:v>
      </x:c>
      <x:c r="D25" s="17" t="str">
        <x:v>2. Klaim &amp; pengeluaran</x:v>
      </x:c>
      <x:c r="E25" s="17" t="str">
        <x:v>2. Klaim &amp; pengeluaran</x:v>
      </x:c>
      <x:c r="F25" s="17" t="str">
        <x:v>2. Klaim &amp; pengeluaran</x:v>
      </x:c>
      <x:c r="G25" s="17" t="str">
        <x:v>2. Klaim &amp; pengeluaran</x:v>
      </x:c>
      <x:c r="H25" s="17" t="str">
        <x:v>2. Klaim &amp; pengeluaran</x:v>
      </x:c>
    </x:row>
    <x:row r="26" ht="32" customHeight="1">
      <x:c r="A26" s="15" t="str">
        <x:v>Tujuan tab</x:v>
      </x:c>
      <x:c r="B26" s="14" t="str">
        <x:v>Pengeluaran langsung dan reimbursement yang belum dibayar.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Pengaju; kategori; unit; status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Klaim</x:v>
      </x:c>
      <x:c r="B28" s="10" t="str">
        <x:v>Pengaju</x:v>
      </x:c>
      <x:c r="C28" s="10" t="str">
        <x:v>Unit</x:v>
      </x:c>
      <x:c r="D28" s="10" t="str">
        <x:v>Keperluan</x:v>
      </x:c>
      <x:c r="E28" s="10" t="str">
        <x:v>Nilai Rp</x:v>
      </x:c>
      <x:c r="F28" s="10" t="str">
        <x:v>Tanggal</x:v>
      </x:c>
      <x:c r="G28" s="10" t="str">
        <x:v>Status</x:v>
      </x:c>
      <x:c r="H28" s="10" t="str">
        <x:v>Aksi</x:v>
      </x:c>
    </x:row>
    <x:row r="29" ht="48" customHeight="1">
      <x:c r="A29" s="8" t="str">
        <x:v>CLM-001</x:v>
      </x:c>
      <x:c r="B29" s="8" t="str">
        <x:v>Pegawai A</x:v>
      </x:c>
      <x:c r="C29" s="8" t="str">
        <x:v>C006</x:v>
      </x:c>
      <x:c r="D29" s="8" t="str">
        <x:v>Transport operasional</x:v>
      </x:c>
      <x:c r="E29" s="18" t="n">
        <x:v>150000</x:v>
      </x:c>
      <x:c r="F29" s="19" t="n">
        <x:v>46275</x:v>
      </x:c>
      <x:c r="G29" s="8" t="str">
        <x:v>Disetujui</x:v>
      </x:c>
      <x:c r="H29" s="8" t="str">
        <x:v>Siapkan pembayaran</x:v>
      </x:c>
    </x:row>
    <x:row r="31" ht="32" customHeight="1">
      <x:c r="A31" s="15" t="str">
        <x:v>Tombol / tindakan</x:v>
      </x:c>
      <x:c r="B31" s="14" t="str">
        <x:v>Buat klaim; unggah bukti; review; bayar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Status dokumen</x:v>
      </x:c>
      <x:c r="B32" s="14" t="str">
        <x:v>Draf; diajukan; dikembalikan; disetujui; dibayar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Saat baris dibuka</x:v>
      </x:c>
      <x:c r="B33" s="14" t="str">
        <x:v>Rincian per bukti, kategori, pusat biaya, pajak bila relevan, pembayaran dan jurnal.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Alur</x:v>
      </x:c>
      <x:c r="B34" s="14" t="str">
        <x:v>Bukti pengeluaran → klaim → approval → pembayaran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Tampilan kosong</x:v>
      </x:c>
      <x:c r="B35" s="14" t="str">
        <x:v>Tampilkan “Belum ada data sesuai filter”, pilihan hapus filter, dan aksi membuat/mengambil data hanya bila pengguna berwenang.</x:v>
      </x:c>
      <x:c r="C35" s="14"/>
      <x:c r="D35" s="14"/>
      <x:c r="E35" s="14"/>
      <x:c r="F35" s="14"/>
      <x:c r="G35" s="14"/>
      <x:c r="H35" s="14"/>
    </x:row>
    <x:row r="38" ht="27" customHeight="1">
      <x:c r="A38" s="17" t="str">
        <x:v>3. Uang muka</x:v>
      </x:c>
      <x:c r="B38" s="17" t="str">
        <x:v>3. Uang muka</x:v>
      </x:c>
      <x:c r="C38" s="17" t="str">
        <x:v>3. Uang muka</x:v>
      </x:c>
      <x:c r="D38" s="17" t="str">
        <x:v>3. Uang muka</x:v>
      </x:c>
      <x:c r="E38" s="17" t="str">
        <x:v>3. Uang muka</x:v>
      </x:c>
      <x:c r="F38" s="17" t="str">
        <x:v>3. Uang muka</x:v>
      </x:c>
      <x:c r="G38" s="17" t="str">
        <x:v>3. Uang muka</x:v>
      </x:c>
      <x:c r="H38" s="17" t="str">
        <x:v>3. Uang muka</x:v>
      </x:c>
    </x:row>
    <x:row r="39" ht="32" customHeight="1">
      <x:c r="A39" s="15" t="str">
        <x:v>Tujuan tab</x:v>
      </x:c>
      <x:c r="B39" s="14" t="str">
        <x:v>Uang muka operasional dan pertanggungjawabannya.</x:v>
      </x:c>
      <x:c r="C39" s="14"/>
      <x:c r="D39" s="14"/>
      <x:c r="E39" s="14"/>
      <x:c r="F39" s="14"/>
      <x:c r="G39" s="14"/>
      <x:c r="H39" s="14"/>
    </x:row>
    <x:row r="40" ht="32" customHeight="1">
      <x:c r="A40" s="15" t="str">
        <x:v>Filter</x:v>
      </x:c>
      <x:c r="B40" s="14" t="str">
        <x:v>Pemegang; unit; umur; status</x:v>
      </x:c>
      <x:c r="C40" s="14"/>
      <x:c r="D40" s="14"/>
      <x:c r="E40" s="14"/>
      <x:c r="F40" s="14"/>
      <x:c r="G40" s="14"/>
      <x:c r="H40" s="14"/>
    </x:row>
    <x:row r="41" ht="36" customHeight="1">
      <x:c r="A41" s="10" t="str">
        <x:v>Uang muka</x:v>
      </x:c>
      <x:c r="B41" s="10" t="str">
        <x:v>Pemegang</x:v>
      </x:c>
      <x:c r="C41" s="10" t="str">
        <x:v>Unit</x:v>
      </x:c>
      <x:c r="D41" s="10" t="str">
        <x:v>Tujuan</x:v>
      </x:c>
      <x:c r="E41" s="10" t="str">
        <x:v>Diberikan Rp</x:v>
      </x:c>
      <x:c r="F41" s="10" t="str">
        <x:v>Dipertanggungjawabkan Rp</x:v>
      </x:c>
      <x:c r="G41" s="10" t="str">
        <x:v>Sisa Rp</x:v>
      </x:c>
      <x:c r="H41" s="10" t="str">
        <x:v>Status</x:v>
      </x:c>
    </x:row>
    <x:row r="42" ht="48" customHeight="1">
      <x:c r="A42" s="8" t="str">
        <x:v>ADV-001</x:v>
      </x:c>
      <x:c r="B42" s="8" t="str">
        <x:v>Pegawai B</x:v>
      </x:c>
      <x:c r="C42" s="8" t="str">
        <x:v>HO</x:v>
      </x:c>
      <x:c r="D42" s="8" t="str">
        <x:v>Kebutuhan acara</x:v>
      </x:c>
      <x:c r="E42" s="18" t="n">
        <x:v>2000000</x:v>
      </x:c>
      <x:c r="F42" s="18" t="n">
        <x:v>1500000</x:v>
      </x:c>
      <x:c r="G42" s="18" t="n">
        <x:f>E42-F42</x:f>
        <x:v>500000</x:v>
      </x:c>
      <x:c r="H42" s="8" t="str">
        <x:v>Terbuka</x:v>
      </x:c>
    </x:row>
    <x:row r="44" ht="32" customHeight="1">
      <x:c r="A44" s="15" t="str">
        <x:v>Tombol / tindakan</x:v>
      </x:c>
      <x:c r="B44" s="14" t="str">
        <x:v>Ajukan uang muka; bayar; pertanggungjawabkan; kembalikan sisa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Status dokumen</x:v>
      </x:c>
      <x:c r="B45" s="14" t="str">
        <x:v>Diajukan; disetujui; dibayar; sebagian dipertanggungjawabkan; selesai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Saat baris dibuka</x:v>
      </x:c>
      <x:c r="B46" s="14" t="str">
        <x:v>Rincian biaya aktual, pengembalian, tambahan penggantian, bukti dan tautan pembayaran. Piutang pinjaman pegawai ada di Payroll.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Alur</x:v>
      </x:c>
      <x:c r="B47" s="14" t="str">
        <x:v>Uang muka → pembayaran → biaya aktual/pengembalian → selesai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Tampilan kosong</x:v>
      </x:c>
      <x:c r="B48" s="14" t="str">
        <x:v>Tampilkan “Belum ada data sesuai filter”, pilihan hapus filter, dan aksi membuat/mengambil data hanya bila pengguna berwenang.</x:v>
      </x:c>
      <x:c r="C48" s="14"/>
      <x:c r="D48" s="14"/>
      <x:c r="E48" s="14"/>
      <x:c r="F48" s="14"/>
      <x:c r="G48" s="14"/>
      <x:c r="H48" s="14"/>
    </x:row>
    <x:row r="51" ht="27" customHeight="1">
      <x:c r="A51" s="17" t="str">
        <x:v>4. Biaya dibayar di muka</x:v>
      </x:c>
      <x:c r="B51" s="17" t="str">
        <x:v>4. Biaya dibayar di muka</x:v>
      </x:c>
      <x:c r="C51" s="17" t="str">
        <x:v>4. Biaya dibayar di muka</x:v>
      </x:c>
      <x:c r="D51" s="17" t="str">
        <x:v>4. Biaya dibayar di muka</x:v>
      </x:c>
      <x:c r="E51" s="17" t="str">
        <x:v>4. Biaya dibayar di muka</x:v>
      </x:c>
      <x:c r="F51" s="17" t="str">
        <x:v>4. Biaya dibayar di muka</x:v>
      </x:c>
      <x:c r="G51" s="17" t="str">
        <x:v>4. Biaya dibayar di muka</x:v>
      </x:c>
      <x:c r="H51" s="17" t="str">
        <x:v>4. Biaya dibayar di muka</x:v>
      </x:c>
    </x:row>
    <x:row r="52" ht="32" customHeight="1">
      <x:c r="A52" s="15" t="str">
        <x:v>Tujuan tab</x:v>
      </x:c>
      <x:c r="B52" s="14" t="str">
        <x:v>Jadwal pengakuan biaya yang manfaatnya lintas periode.</x:v>
      </x:c>
      <x:c r="C52" s="14"/>
      <x:c r="D52" s="14"/>
      <x:c r="E52" s="14"/>
      <x:c r="F52" s="14"/>
      <x:c r="G52" s="14"/>
      <x:c r="H52" s="14"/>
    </x:row>
    <x:row r="53" ht="32" customHeight="1">
      <x:c r="A53" s="15" t="str">
        <x:v>Filter</x:v>
      </x:c>
      <x:c r="B53" s="14" t="str">
        <x:v>Jenis; unit; periode; status</x:v>
      </x:c>
      <x:c r="C53" s="14"/>
      <x:c r="D53" s="14"/>
      <x:c r="E53" s="14"/>
      <x:c r="F53" s="14"/>
      <x:c r="G53" s="14"/>
      <x:c r="H53" s="14"/>
    </x:row>
    <x:row r="54" ht="36" customHeight="1">
      <x:c r="A54" s="10" t="str">
        <x:v>Jadwal</x:v>
      </x:c>
      <x:c r="B54" s="10" t="str">
        <x:v>Jenis</x:v>
      </x:c>
      <x:c r="C54" s="10" t="str">
        <x:v>Unit</x:v>
      </x:c>
      <x:c r="D54" s="10" t="str">
        <x:v>Mulai</x:v>
      </x:c>
      <x:c r="E54" s="10" t="str">
        <x:v>Akhir</x:v>
      </x:c>
      <x:c r="F54" s="10" t="str">
        <x:v>Nilai awal Rp</x:v>
      </x:c>
      <x:c r="G54" s="10" t="str">
        <x:v>Saldo Rp</x:v>
      </x:c>
      <x:c r="H54" s="10" t="str">
        <x:v>Status</x:v>
      </x:c>
    </x:row>
    <x:row r="55" ht="48" customHeight="1">
      <x:c r="A55" s="8" t="str">
        <x:v>PRE-001</x:v>
      </x:c>
      <x:c r="B55" s="8" t="str">
        <x:v>Sewa</x:v>
      </x:c>
      <x:c r="C55" s="8" t="str">
        <x:v>C006</x:v>
      </x:c>
      <x:c r="D55" s="19" t="n">
        <x:v>46266</x:v>
      </x:c>
      <x:c r="E55" s="19" t="n">
        <x:v>46630</x:v>
      </x:c>
      <x:c r="F55" s="18" t="n">
        <x:v>12000000</x:v>
      </x:c>
      <x:c r="G55" s="18" t="n">
        <x:v>12000000</x:v>
      </x:c>
      <x:c r="H55" s="8" t="str">
        <x:v>Aktif</x:v>
      </x:c>
    </x:row>
    <x:row r="57" ht="32" customHeight="1">
      <x:c r="A57" s="15" t="str">
        <x:v>Tombol / tindakan</x:v>
      </x:c>
      <x:c r="B57" s="14" t="str">
        <x:v>Buat dari tagihan; tinjau jadwal; buka pengakuan bulanan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Status dokumen</x:v>
      </x:c>
      <x:c r="B58" s="14" t="str">
        <x:v>Draf; aktif; selesai; dihentikan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Saat baris dibuka</x:v>
      </x:c>
      <x:c r="B59" s="14" t="str">
        <x:v>Dokumen asal, masa manfaat, jadwal per periode, jurnal pengakuan, perubahan dan alasan. Posting bulanan dikendalikan Akuntansi.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Alur</x:v>
      </x:c>
      <x:c r="B60" s="14" t="str">
        <x:v>Tagihan → jadwal → pengakuan periode → laporan</x:v>
      </x:c>
      <x:c r="C60" s="14"/>
      <x:c r="D60" s="14"/>
      <x:c r="E60" s="14"/>
      <x:c r="F60" s="14"/>
      <x:c r="G60" s="14"/>
      <x:c r="H60" s="14"/>
    </x:row>
    <x:row r="61" ht="32" customHeight="1">
      <x:c r="A61" s="15" t="str">
        <x:v>Tampilan kosong</x:v>
      </x:c>
      <x:c r="B61" s="14" t="str">
        <x:v>Tampilkan “Belum ada data sesuai filter”, pilihan hapus filter, dan aksi membuat/mengambil data hanya bila pengguna berwenang.</x:v>
      </x:c>
      <x:c r="C61" s="14"/>
      <x:c r="D61" s="14"/>
      <x:c r="E61" s="14"/>
      <x:c r="F61" s="14"/>
      <x:c r="G61" s="14"/>
      <x:c r="H61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1:H31"/>
    <x:mergeCell ref="B32:H32"/>
    <x:mergeCell ref="B33:H33"/>
    <x:mergeCell ref="B34:H34"/>
    <x:mergeCell ref="B35:H35"/>
    <x:mergeCell ref="A38:H38"/>
    <x:mergeCell ref="B39:H39"/>
    <x:mergeCell ref="B40:H40"/>
    <x:mergeCell ref="B44:H44"/>
    <x:mergeCell ref="B45:H45"/>
    <x:mergeCell ref="B46:H46"/>
    <x:mergeCell ref="B47:H47"/>
    <x:mergeCell ref="B48:H48"/>
    <x:mergeCell ref="A51:H51"/>
    <x:mergeCell ref="B52:H52"/>
    <x:mergeCell ref="B53:H53"/>
    <x:mergeCell ref="B57:H57"/>
    <x:mergeCell ref="B58:H58"/>
    <x:mergeCell ref="B59:H59"/>
    <x:mergeCell ref="B60:H60"/>
    <x:mergeCell ref="B61:H61"/>
  </x:mergeCells>
  <x:pageMargins left="0.7" right="0.7" top="0.75" bottom="0.75" header="0.3" footer="0.3"/>
  <x:tableParts count="4">
    <x:tablePart xmlns:r="http://schemas.openxmlformats.org/officeDocument/2006/relationships" r:id="R649cf0f00dfc4af3"/>
    <x:tablePart xmlns:r="http://schemas.openxmlformats.org/officeDocument/2006/relationships" r:id="R26a6fe3e4a624c9b"/>
    <x:tablePart xmlns:r="http://schemas.openxmlformats.org/officeDocument/2006/relationships" r:id="R38b5ed9b43d5415c"/>
    <x:tablePart xmlns:r="http://schemas.openxmlformats.org/officeDocument/2006/relationships" r:id="R35f3ef61a52243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Penjualan &amp; Piutang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pendapatan, tagihan pelanggan dan penerimaan dari kanal penjualan.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Accounts receivable dan finance toko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Mengambil transaksi penjualan dari sumber bisnis. Penerimaan uang memakai register Kas &amp; Bank yang sama.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Penjualan tercatat; piutang pelanggan; settlement tertunda; uang muka pelanggan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Settlement kartu perlu alur lengkap; biaya kartu melekat pada settlement; pendapatan lain butuh sumber yang jelas.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Penjualan — tab awal</x:v>
      </x:c>
      <x:c r="B11" s="17" t="str">
        <x:v>1. Penjualan — tab awal</x:v>
      </x:c>
      <x:c r="C11" s="17" t="str">
        <x:v>1. Penjualan — tab awal</x:v>
      </x:c>
      <x:c r="D11" s="17" t="str">
        <x:v>1. Penjualan — tab awal</x:v>
      </x:c>
      <x:c r="E11" s="17" t="str">
        <x:v>1. Penjualan — tab awal</x:v>
      </x:c>
      <x:c r="F11" s="17" t="str">
        <x:v>1. Penjualan — tab awal</x:v>
      </x:c>
      <x:c r="G11" s="17" t="str">
        <x:v>1. Penjualan — tab awal</x:v>
      </x:c>
      <x:c r="H11" s="17" t="str">
        <x:v>1. Penjualan — tab awal</x:v>
      </x:c>
    </x:row>
    <x:row r="12" ht="32" customHeight="1">
      <x:c r="A12" s="15" t="str">
        <x:v>Tujuan tab</x:v>
      </x:c>
      <x:c r="B12" s="14" t="str">
        <x:v>Ringkasan penjualan yang diterima dari sumber operasional.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tanggal; kanal; status impor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Sumber penjualan</x:v>
      </x:c>
      <x:c r="B14" s="10" t="str">
        <x:v>Tanggal</x:v>
      </x:c>
      <x:c r="C14" s="10" t="str">
        <x:v>Unit</x:v>
      </x:c>
      <x:c r="D14" s="10" t="str">
        <x:v>Kanal</x:v>
      </x:c>
      <x:c r="E14" s="10" t="str">
        <x:v>Bruto Rp</x:v>
      </x:c>
      <x:c r="F14" s="10" t="str">
        <x:v>Potongan Rp</x:v>
      </x:c>
      <x:c r="G14" s="10" t="str">
        <x:v>Neto Rp</x:v>
      </x:c>
      <x:c r="H14" s="10" t="str">
        <x:v>Status</x:v>
      </x:c>
    </x:row>
    <x:row r="15" ht="48" customHeight="1">
      <x:c r="A15" s="8" t="str">
        <x:v>SALE-001</x:v>
      </x:c>
      <x:c r="B15" s="19" t="n">
        <x:v>46275</x:v>
      </x:c>
      <x:c r="C15" s="8" t="str">
        <x:v>C006</x:v>
      </x:c>
      <x:c r="D15" s="8" t="str">
        <x:v>Kartu</x:v>
      </x:c>
      <x:c r="E15" s="18" t="n">
        <x:v>1000000</x:v>
      </x:c>
      <x:c r="F15" s="18" t="n">
        <x:v>0</x:v>
      </x:c>
      <x:c r="G15" s="18" t="n">
        <x:f>E15-F15</x:f>
        <x:v>1000000</x:v>
      </x:c>
      <x:c r="H15" s="8" t="str">
        <x:v>Tercatat</x:v>
      </x:c>
    </x:row>
    <x:row r="17" ht="32" customHeight="1">
      <x:c r="A17" s="15" t="str">
        <x:v>Tombol / tindakan</x:v>
      </x:c>
      <x:c r="B17" s="14" t="str">
        <x:v>Lihat sumber; validasi; tangani selisih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Diterima; perlu tinjau; tercatat; dikoreksi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Transaksi sumber, rincian penjualan, pajak bila relevan, tender pembayaran, retur dan jurnal.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Sumber penjualan → validasi → piutang kanal/kas → settlement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Tagihan &amp; piutang</x:v>
      </x:c>
      <x:c r="B24" s="17" t="str">
        <x:v>2. Tagihan &amp; piutang</x:v>
      </x:c>
      <x:c r="C24" s="17" t="str">
        <x:v>2. Tagihan &amp; piutang</x:v>
      </x:c>
      <x:c r="D24" s="17" t="str">
        <x:v>2. Tagihan &amp; piutang</x:v>
      </x:c>
      <x:c r="E24" s="17" t="str">
        <x:v>2. Tagihan &amp; piutang</x:v>
      </x:c>
      <x:c r="F24" s="17" t="str">
        <x:v>2. Tagihan &amp; piutang</x:v>
      </x:c>
      <x:c r="G24" s="17" t="str">
        <x:v>2. Tagihan &amp; piutang</x:v>
      </x:c>
      <x:c r="H24" s="17" t="str">
        <x:v>2. Tagihan &amp; piutang</x:v>
      </x:c>
    </x:row>
    <x:row r="25" ht="32" customHeight="1">
      <x:c r="A25" s="15" t="str">
        <x:v>Tujuan tab</x:v>
      </x:c>
      <x:c r="B25" s="14" t="str">
        <x:v>Tagihan kepada pelanggan dan saldo yang harus ditagih.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Pelanggan; umur piutang; unit; jenis pendapatan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Invoice</x:v>
      </x:c>
      <x:c r="B27" s="10" t="str">
        <x:v>Pelanggan</x:v>
      </x:c>
      <x:c r="C27" s="10" t="str">
        <x:v>Unit</x:v>
      </x:c>
      <x:c r="D27" s="10" t="str">
        <x:v>Jenis</x:v>
      </x:c>
      <x:c r="E27" s="10" t="str">
        <x:v>Jatuh tempo</x:v>
      </x:c>
      <x:c r="F27" s="10" t="str">
        <x:v>Total Rp</x:v>
      </x:c>
      <x:c r="G27" s="10" t="str">
        <x:v>Sisa Rp</x:v>
      </x:c>
      <x:c r="H27" s="10" t="str">
        <x:v>Status</x:v>
      </x:c>
    </x:row>
    <x:row r="28" ht="48" customHeight="1">
      <x:c r="A28" s="8" t="str">
        <x:v>INV-001</x:v>
      </x:c>
      <x:c r="B28" s="8" t="str">
        <x:v>Pelanggan A</x:v>
      </x:c>
      <x:c r="C28" s="8" t="str">
        <x:v>HO</x:v>
      </x:c>
      <x:c r="D28" s="8" t="str">
        <x:v>Jasa</x:v>
      </x:c>
      <x:c r="E28" s="19" t="n">
        <x:v>46290</x:v>
      </x:c>
      <x:c r="F28" s="18" t="n">
        <x:v>3000000</x:v>
      </x:c>
      <x:c r="G28" s="18" t="n">
        <x:v>3000000</x:v>
      </x:c>
      <x:c r="H28" s="8" t="str">
        <x:v>Terbit</x:v>
      </x:c>
    </x:row>
    <x:row r="30" ht="32" customHeight="1">
      <x:c r="A30" s="15" t="str">
        <x:v>Tombol / tindakan</x:v>
      </x:c>
      <x:c r="B30" s="14" t="str">
        <x:v>Buat tagihan jasa; terbitkan; catat kredit; alokasikan penerimaan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terbit; sebagian lunas; lunas; dibatalkan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Saat baris dibuka</x:v>
      </x:c>
      <x:c r="B32" s="14" t="str">
        <x:v>Rincian jasa, dasar pendapatan, pajak, nota kredit, alokasi penerimaan dan jurnal. Management fee hanya bila dasar bisnis dikonfirmasi.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Jasa/penjualan kredit → invoice → penerimaan Kas &amp; Bank → alokasi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Settlement kanal</x:v>
      </x:c>
      <x:c r="B37" s="17" t="str">
        <x:v>3. Settlement kanal</x:v>
      </x:c>
      <x:c r="C37" s="17" t="str">
        <x:v>3. Settlement kanal</x:v>
      </x:c>
      <x:c r="D37" s="17" t="str">
        <x:v>3. Settlement kanal</x:v>
      </x:c>
      <x:c r="E37" s="17" t="str">
        <x:v>3. Settlement kanal</x:v>
      </x:c>
      <x:c r="F37" s="17" t="str">
        <x:v>3. Settlement kanal</x:v>
      </x:c>
      <x:c r="G37" s="17" t="str">
        <x:v>3. Settlement kanal</x:v>
      </x:c>
      <x:c r="H37" s="17" t="str">
        <x:v>3. Settlement kanal</x:v>
      </x:c>
    </x:row>
    <x:row r="38" ht="32" customHeight="1">
      <x:c r="A38" s="15" t="str">
        <x:v>Tujuan tab</x:v>
      </x:c>
      <x:c r="B38" s="14" t="str">
        <x:v>Pencocokan tagihan kanal dengan dana bersih yang diterima.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Kanal; batch; unit; tanggal;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Settlement</x:v>
      </x:c>
      <x:c r="B40" s="10" t="str">
        <x:v>Kanal</x:v>
      </x:c>
      <x:c r="C40" s="10" t="str">
        <x:v>Unit</x:v>
      </x:c>
      <x:c r="D40" s="10" t="str">
        <x:v>Bruto Rp</x:v>
      </x:c>
      <x:c r="E40" s="10" t="str">
        <x:v>Biaya Rp</x:v>
      </x:c>
      <x:c r="F40" s="10" t="str">
        <x:v>Neto Rp</x:v>
      </x:c>
      <x:c r="G40" s="10" t="str">
        <x:v>Diterima Rp</x:v>
      </x:c>
      <x:c r="H40" s="10" t="str">
        <x:v>Status</x:v>
      </x:c>
    </x:row>
    <x:row r="41" ht="48" customHeight="1">
      <x:c r="A41" s="8" t="str">
        <x:v>SET-001</x:v>
      </x:c>
      <x:c r="B41" s="8" t="str">
        <x:v>Acquirer A</x:v>
      </x:c>
      <x:c r="C41" s="8" t="str">
        <x:v>C006</x:v>
      </x:c>
      <x:c r="D41" s="18" t="n">
        <x:v>1000000</x:v>
      </x:c>
      <x:c r="E41" s="18" t="n">
        <x:v>30000</x:v>
      </x:c>
      <x:c r="F41" s="18" t="n">
        <x:f>D41-E41</x:f>
        <x:v>970000</x:v>
      </x:c>
      <x:c r="G41" s="18" t="n">
        <x:v>970000</x:v>
      </x:c>
      <x:c r="H41" s="8" t="str">
        <x:v>Selesai</x:v>
      </x:c>
    </x:row>
    <x:row r="43" ht="32" customHeight="1">
      <x:c r="A43" s="15" t="str">
        <x:v>Tombol / tindakan</x:v>
      </x:c>
      <x:c r="B43" s="14" t="str">
        <x:v>Impor settlement; cocokkan transaksi; tautkan penerimaan; tinjau selisih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Menunggu; sebagian; selisih; selesai</x:v>
      </x:c>
      <x:c r="C44" s="14"/>
      <x:c r="D44" s="14"/>
      <x:c r="E44" s="14"/>
      <x:c r="F44" s="14"/>
      <x:c r="G44" s="14"/>
      <x:c r="H44" s="14"/>
    </x:row>
    <x:row r="45" ht="40" customHeight="1">
      <x:c r="A45" s="15" t="str">
        <x:v>Saat baris dibuka</x:v>
      </x:c>
      <x:c r="B45" s="14" t="str">
        <x:v>Transaksi penjualan, potongan, biaya kanal, penerimaan RCPT-001, rekonsiliasi dan jurnal. Biaya tidak dibuat ulang sebagai tagihan.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Penjualan kanal → statement settlement → penerimaan → rekonsiliasi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Uang muka &amp; pengembalian</x:v>
      </x:c>
      <x:c r="B50" s="17" t="str">
        <x:v>4. Uang muka &amp; pengembalian</x:v>
      </x:c>
      <x:c r="C50" s="17" t="str">
        <x:v>4. Uang muka &amp; pengembalian</x:v>
      </x:c>
      <x:c r="D50" s="17" t="str">
        <x:v>4. Uang muka &amp; pengembalian</x:v>
      </x:c>
      <x:c r="E50" s="17" t="str">
        <x:v>4. Uang muka &amp; pengembalian</x:v>
      </x:c>
      <x:c r="F50" s="17" t="str">
        <x:v>4. Uang muka &amp; pengembalian</x:v>
      </x:c>
      <x:c r="G50" s="17" t="str">
        <x:v>4. Uang muka &amp; pengembalian</x:v>
      </x:c>
      <x:c r="H50" s="17" t="str">
        <x:v>4. Uang muka &amp; pengembalian</x:v>
      </x:c>
    </x:row>
    <x:row r="51" ht="32" customHeight="1">
      <x:c r="A51" s="15" t="str">
        <x:v>Tujuan tab</x:v>
      </x:c>
      <x:c r="B51" s="14" t="str">
        <x:v>Kewajiban pelanggan dan penyelesaian retur/refund.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Jenis; pelanggan; unit;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Dokumen</x:v>
      </x:c>
      <x:c r="B53" s="10" t="str">
        <x:v>Pelanggan</x:v>
      </x:c>
      <x:c r="C53" s="10" t="str">
        <x:v>Unit</x:v>
      </x:c>
      <x:c r="D53" s="10" t="str">
        <x:v>Jenis</x:v>
      </x:c>
      <x:c r="E53" s="10" t="str">
        <x:v>Nilai Rp</x:v>
      </x:c>
      <x:c r="F53" s="10" t="str">
        <x:v>Dialokasikan Rp</x:v>
      </x:c>
      <x:c r="G53" s="10" t="str">
        <x:v>Status</x:v>
      </x:c>
      <x:c r="H53" s="10" t="str">
        <x:v>Sumber</x:v>
      </x:c>
    </x:row>
    <x:row r="54" ht="48" customHeight="1">
      <x:c r="A54" s="8" t="str">
        <x:v>DEP-001</x:v>
      </x:c>
      <x:c r="B54" s="8" t="str">
        <x:v>Pelanggan B</x:v>
      </x:c>
      <x:c r="C54" s="8" t="str">
        <x:v>C006</x:v>
      </x:c>
      <x:c r="D54" s="8" t="str">
        <x:v>Uang muka</x:v>
      </x:c>
      <x:c r="E54" s="18" t="n">
        <x:v>500000</x:v>
      </x:c>
      <x:c r="F54" s="18" t="n">
        <x:v>0</x:v>
      </x:c>
      <x:c r="G54" s="8" t="str">
        <x:v>Belum dialokasikan</x:v>
      </x:c>
      <x:c r="H54" s="8" t="str">
        <x:v>Pesanan B</x:v>
      </x:c>
    </x:row>
    <x:row r="56" ht="32" customHeight="1">
      <x:c r="A56" s="15" t="str">
        <x:v>Tombol / tindakan</x:v>
      </x:c>
      <x:c r="B56" s="14" t="str">
        <x:v>Alokasikan uang muka; ajukan refund; buka pembayaran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Belum dialokasikan; sebagian; dialokasikan; refund diproses; selesai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Pesanan/penjualan asli, uang diterima, alokasi invoice, persetujuan refund dan pembayaran terkait.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Uang muka/retur → alokasi atau persetujuan refund → Kas &amp; Bank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a61109f0c5ba4e91"/>
    <x:tablePart xmlns:r="http://schemas.openxmlformats.org/officeDocument/2006/relationships" r:id="Raff3ee02b6324e24"/>
    <x:tablePart xmlns:r="http://schemas.openxmlformats.org/officeDocument/2006/relationships" r:id="Radde4a34250945d4"/>
    <x:tablePart xmlns:r="http://schemas.openxmlformats.org/officeDocument/2006/relationships" r:id="R5c661910147449b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Persediaan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nilai persediaan, selisih fisik dan dampak keuangan pergerakan barang.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persediaan bersama gudang/toko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Operasi mencatat barang fisik. Finance mengontrol nilai dan jurnal. Saldo pihak lawan antarunit ditangani Antarunit.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Nilai stok; barang dalam perjalanan; selisih opname; penyesuaian tertunda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Dispatch belum tersedia untuk semua unit; penerimaan antarunit sengaja nonaktif dan perlu bukti sebelum diaktifkan.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Saldo &amp; mutasi — tab awal</x:v>
      </x:c>
      <x:c r="B11" s="17" t="str">
        <x:v>1. Saldo &amp; mutasi — tab awal</x:v>
      </x:c>
      <x:c r="C11" s="17" t="str">
        <x:v>1. Saldo &amp; mutasi — tab awal</x:v>
      </x:c>
      <x:c r="D11" s="17" t="str">
        <x:v>1. Saldo &amp; mutasi — tab awal</x:v>
      </x:c>
      <x:c r="E11" s="17" t="str">
        <x:v>1. Saldo &amp; mutasi — tab awal</x:v>
      </x:c>
      <x:c r="F11" s="17" t="str">
        <x:v>1. Saldo &amp; mutasi — tab awal</x:v>
      </x:c>
      <x:c r="G11" s="17" t="str">
        <x:v>1. Saldo &amp; mutasi — tab awal</x:v>
      </x:c>
      <x:c r="H11" s="17" t="str">
        <x:v>1. Saldo &amp; mutasi — tab awal</x:v>
      </x:c>
    </x:row>
    <x:row r="12" ht="32" customHeight="1">
      <x:c r="A12" s="15" t="str">
        <x:v>Tujuan tab</x:v>
      </x:c>
      <x:c r="B12" s="14" t="str">
        <x:v>Saldo kuantitas dan nilai menurut unit serta kelompok barang.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barang/kelompok; lokasi; tanggal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Barang/kelompok</x:v>
      </x:c>
      <x:c r="B14" s="10" t="str">
        <x:v>Unit</x:v>
      </x:c>
      <x:c r="C14" s="10" t="str">
        <x:v>Satuan</x:v>
      </x:c>
      <x:c r="D14" s="10" t="str">
        <x:v>Kuantitas</x:v>
      </x:c>
      <x:c r="E14" s="10" t="str">
        <x:v>Nilai Rp</x:v>
      </x:c>
      <x:c r="F14" s="10" t="str">
        <x:v>Tanggal posisi</x:v>
      </x:c>
      <x:c r="G14" s="10" t="str">
        <x:v>Status</x:v>
      </x:c>
      <x:c r="H14" s="10" t="str">
        <x:v>Aksi</x:v>
      </x:c>
    </x:row>
    <x:row r="15" ht="48" customHeight="1">
      <x:c r="A15" s="8" t="str">
        <x:v>Bahan baku A</x:v>
      </x:c>
      <x:c r="B15" s="8" t="str">
        <x:v>C006</x:v>
      </x:c>
      <x:c r="C15" s="8" t="str">
        <x:v>kg</x:v>
      </x:c>
      <x:c r="D15" s="8" t="n">
        <x:v>100</x:v>
      </x:c>
      <x:c r="E15" s="18" t="n">
        <x:v>5000000</x:v>
      </x:c>
      <x:c r="F15" s="19" t="n">
        <x:v>46276</x:v>
      </x:c>
      <x:c r="G15" s="8" t="str">
        <x:v>Tercatat</x:v>
      </x:c>
      <x:c r="H15" s="8" t="str">
        <x:v>Lihat kartu stok</x:v>
      </x:c>
    </x:row>
    <x:row r="17" ht="32" customHeight="1">
      <x:c r="A17" s="15" t="str">
        <x:v>Tombol / tindakan</x:v>
      </x:c>
      <x:c r="B17" s="14" t="str">
        <x:v>Lihat kartu stok; buka dokumen sumber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Tercatat; perlu rekonsiliasi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Mutasi kuantitas, nilai, penerimaan, pemakaian, metode penilaian yang disahkan dan jurnal terkait.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Dokumen barang → pergerakan bernilai → saldo persediaan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Penerimaan &amp; pemakaian</x:v>
      </x:c>
      <x:c r="B24" s="17" t="str">
        <x:v>2. Penerimaan &amp; pemakaian</x:v>
      </x:c>
      <x:c r="C24" s="17" t="str">
        <x:v>2. Penerimaan &amp; pemakaian</x:v>
      </x:c>
      <x:c r="D24" s="17" t="str">
        <x:v>2. Penerimaan &amp; pemakaian</x:v>
      </x:c>
      <x:c r="E24" s="17" t="str">
        <x:v>2. Penerimaan &amp; pemakaian</x:v>
      </x:c>
      <x:c r="F24" s="17" t="str">
        <x:v>2. Penerimaan &amp; pemakaian</x:v>
      </x:c>
      <x:c r="G24" s="17" t="str">
        <x:v>2. Penerimaan &amp; pemakaian</x:v>
      </x:c>
      <x:c r="H24" s="17" t="str">
        <x:v>2. Penerimaan &amp; pemakaian</x:v>
      </x:c>
    </x:row>
    <x:row r="25" ht="32" customHeight="1">
      <x:c r="A25" s="15" t="str">
        <x:v>Tujuan tab</x:v>
      </x:c>
      <x:c r="B25" s="14" t="str">
        <x:v>Dampak keuangan dari transaksi barang operasional.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unit; vendor;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Dokumen</x:v>
      </x:c>
      <x:c r="B27" s="10" t="str">
        <x:v>Tanggal</x:v>
      </x:c>
      <x:c r="C27" s="10" t="str">
        <x:v>Unit</x:v>
      </x:c>
      <x:c r="D27" s="10" t="str">
        <x:v>Jenis</x:v>
      </x:c>
      <x:c r="E27" s="10" t="str">
        <x:v>Barang</x:v>
      </x:c>
      <x:c r="F27" s="10" t="str">
        <x:v>Kuantitas</x:v>
      </x:c>
      <x:c r="G27" s="10" t="str">
        <x:v>Nilai Rp</x:v>
      </x:c>
      <x:c r="H27" s="10" t="str">
        <x:v>Status</x:v>
      </x:c>
    </x:row>
    <x:row r="28" ht="48" customHeight="1">
      <x:c r="A28" s="8" t="str">
        <x:v>GR-001</x:v>
      </x:c>
      <x:c r="B28" s="19" t="n">
        <x:v>46275</x:v>
      </x:c>
      <x:c r="C28" s="8" t="str">
        <x:v>C006</x:v>
      </x:c>
      <x:c r="D28" s="8" t="str">
        <x:v>Penerimaan vendor</x:v>
      </x:c>
      <x:c r="E28" s="8" t="str">
        <x:v>Bahan baku A</x:v>
      </x:c>
      <x:c r="F28" s="8" t="n">
        <x:v>100</x:v>
      </x:c>
      <x:c r="G28" s="18" t="n">
        <x:v>5000000</x:v>
      </x:c>
      <x:c r="H28" s="8" t="str">
        <x:v>Tercatat</x:v>
      </x:c>
    </x:row>
    <x:row r="30" ht="32" customHeight="1">
      <x:c r="A30" s="15" t="str">
        <x:v>Tombol / tindakan</x:v>
      </x:c>
      <x:c r="B30" s="14" t="str">
        <x:v>Buka penerimaan; cocokkan tagihan; tinjau pemakaian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Diterima dari operasi; perlu validasi; tercatat; dikoreksi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Baris barang, sumber operasional, penerimaan fisik, harga/nilai dan tautan tagihan.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Penerimaan fisik → penilaian → tagihan vendor/GL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Dalam perjalanan</x:v>
      </x:c>
      <x:c r="B37" s="17" t="str">
        <x:v>3. Dalam perjalanan</x:v>
      </x:c>
      <x:c r="C37" s="17" t="str">
        <x:v>3. Dalam perjalanan</x:v>
      </x:c>
      <x:c r="D37" s="17" t="str">
        <x:v>3. Dalam perjalanan</x:v>
      </x:c>
      <x:c r="E37" s="17" t="str">
        <x:v>3. Dalam perjalanan</x:v>
      </x:c>
      <x:c r="F37" s="17" t="str">
        <x:v>3. Dalam perjalanan</x:v>
      </x:c>
      <x:c r="G37" s="17" t="str">
        <x:v>3. Dalam perjalanan</x:v>
      </x:c>
      <x:c r="H37" s="17" t="str">
        <x:v>3. Dalam perjalanan</x:v>
      </x:c>
    </x:row>
    <x:row r="38" ht="32" customHeight="1">
      <x:c r="A38" s="15" t="str">
        <x:v>Tujuan tab</x:v>
      </x:c>
      <x:c r="B38" s="14" t="str">
        <x:v>Barang dikirim tetapi belum selesai diterima.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Asal; tujuan; umur;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Pengiriman</x:v>
      </x:c>
      <x:c r="B40" s="10" t="str">
        <x:v>Dari</x:v>
      </x:c>
      <x:c r="C40" s="10" t="str">
        <x:v>Ke</x:v>
      </x:c>
      <x:c r="D40" s="10" t="str">
        <x:v>Tanggal kirim</x:v>
      </x:c>
      <x:c r="E40" s="10" t="str">
        <x:v>Nilai Rp</x:v>
      </x:c>
      <x:c r="F40" s="10" t="str">
        <x:v>Diterima Rp</x:v>
      </x:c>
      <x:c r="G40" s="10" t="str">
        <x:v>Status</x:v>
      </x:c>
      <x:c r="H40" s="10" t="str">
        <x:v>Aksi</x:v>
      </x:c>
    </x:row>
    <x:row r="41" ht="48" customHeight="1">
      <x:c r="A41" s="8" t="str">
        <x:v>SHP-001</x:v>
      </x:c>
      <x:c r="B41" s="8" t="str">
        <x:v>HO</x:v>
      </x:c>
      <x:c r="C41" s="8" t="str">
        <x:v>C006</x:v>
      </x:c>
      <x:c r="D41" s="19" t="n">
        <x:v>46275</x:v>
      </x:c>
      <x:c r="E41" s="18" t="n">
        <x:v>2000000</x:v>
      </x:c>
      <x:c r="F41" s="18" t="n">
        <x:v>0</x:v>
      </x:c>
      <x:c r="G41" s="8" t="str">
        <x:v>Dalam perjalanan</x:v>
      </x:c>
      <x:c r="H41" s="8" t="str">
        <x:v>Buka pengiriman</x:v>
      </x:c>
    </x:row>
    <x:row r="43" ht="32" customHeight="1">
      <x:c r="A43" s="15" t="str">
        <x:v>Tombol / tindakan</x:v>
      </x:c>
      <x:c r="B43" s="14" t="str">
        <x:v>Lihat kirim; konfirmasi penerimaan dari sumber; tinjau selisih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Dikirim; sebagian diterima; diterima; selisih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Barang kirim/terima, bukti fisik, nilai transit dan referensi pasangan Antarunit.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Kirim → transit → terima → saldo hubungan di Antarunit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Opname &amp; penyesuaian</x:v>
      </x:c>
      <x:c r="B50" s="17" t="str">
        <x:v>4. Opname &amp; penyesuaian</x:v>
      </x:c>
      <x:c r="C50" s="17" t="str">
        <x:v>4. Opname &amp; penyesuaian</x:v>
      </x:c>
      <x:c r="D50" s="17" t="str">
        <x:v>4. Opname &amp; penyesuaian</x:v>
      </x:c>
      <x:c r="E50" s="17" t="str">
        <x:v>4. Opname &amp; penyesuaian</x:v>
      </x:c>
      <x:c r="F50" s="17" t="str">
        <x:v>4. Opname &amp; penyesuaian</x:v>
      </x:c>
      <x:c r="G50" s="17" t="str">
        <x:v>4. Opname &amp; penyesuaian</x:v>
      </x:c>
      <x:c r="H50" s="17" t="str">
        <x:v>4. Opname &amp; penyesuaian</x:v>
      </x:c>
    </x:row>
    <x:row r="51" ht="32" customHeight="1">
      <x:c r="A51" s="15" t="str">
        <x:v>Tujuan tab</x:v>
      </x:c>
      <x:c r="B51" s="14" t="str">
        <x:v>Selisih fisik dan koreksi nilai yang disetujui.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Unit; tanggal; alasan;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Opname</x:v>
      </x:c>
      <x:c r="B53" s="10" t="str">
        <x:v>Unit</x:v>
      </x:c>
      <x:c r="C53" s="10" t="str">
        <x:v>Barang</x:v>
      </x:c>
      <x:c r="D53" s="10" t="str">
        <x:v>Buku qty</x:v>
      </x:c>
      <x:c r="E53" s="10" t="str">
        <x:v>Fisik qty</x:v>
      </x:c>
      <x:c r="F53" s="10" t="str">
        <x:v>Selisih qty</x:v>
      </x:c>
      <x:c r="G53" s="10" t="str">
        <x:v>Dampak Rp</x:v>
      </x:c>
      <x:c r="H53" s="10" t="str">
        <x:v>Status</x:v>
      </x:c>
    </x:row>
    <x:row r="54" ht="48" customHeight="1">
      <x:c r="A54" s="8" t="str">
        <x:v>STK-001</x:v>
      </x:c>
      <x:c r="B54" s="8" t="str">
        <x:v>C006</x:v>
      </x:c>
      <x:c r="C54" s="8" t="str">
        <x:v>Bahan baku A</x:v>
      </x:c>
      <x:c r="D54" s="8" t="n">
        <x:v>100</x:v>
      </x:c>
      <x:c r="E54" s="8" t="n">
        <x:v>98</x:v>
      </x:c>
      <x:c r="F54" s="8" t="n">
        <x:f>E54-D54</x:f>
        <x:v>-2</x:v>
      </x:c>
      <x:c r="G54" s="18" t="n">
        <x:v>-100000</x:v>
      </x:c>
      <x:c r="H54" s="8" t="str">
        <x:v>Menunggu review</x:v>
      </x:c>
    </x:row>
    <x:row r="56" ht="32" customHeight="1">
      <x:c r="A56" s="15" t="str">
        <x:v>Tombol / tindakan</x:v>
      </x:c>
      <x:c r="B56" s="14" t="str">
        <x:v>Impor hasil fisik; review selisih; setujui penyesuaian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Draf; dihitung; direview; disetujui; tercatat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Hasil hitung, bukti, sebab selisih, penanggung jawab, nilai dampak dan jurnal.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Opname operasi → review finance → penyesuaian → saldo baru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2a0ba46ec55f43eb"/>
    <x:tablePart xmlns:r="http://schemas.openxmlformats.org/officeDocument/2006/relationships" r:id="R67a94d348661436d"/>
    <x:tablePart xmlns:r="http://schemas.openxmlformats.org/officeDocument/2006/relationships" r:id="Rba04df32f06f450d"/>
    <x:tablePart xmlns:r="http://schemas.openxmlformats.org/officeDocument/2006/relationships" r:id="R7bc5ea050bda437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Antarunit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Mencocokkan dan menyelesaikan saldo antarunit atau afiliasi menurut jenis hubungan.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HO dan finance unit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Pengiriman fisik tetap di Persediaan. Pinjaman eksternal dan transaksi pemilik di Pendanaan &amp; Modal.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Saldo belum cocok; transaksi sepihak; penyelesaian tertunda; selisih pasangan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Penyelesaian pendanaan saat ini memilih keluarga utang barang; setiap jenis hubungan harus memilih akun yang benar.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Saldo &amp; pasangan — tab awal</x:v>
      </x:c>
      <x:c r="B11" s="17" t="str">
        <x:v>1. Saldo &amp; pasangan — tab awal</x:v>
      </x:c>
      <x:c r="C11" s="17" t="str">
        <x:v>1. Saldo &amp; pasangan — tab awal</x:v>
      </x:c>
      <x:c r="D11" s="17" t="str">
        <x:v>1. Saldo &amp; pasangan — tab awal</x:v>
      </x:c>
      <x:c r="E11" s="17" t="str">
        <x:v>1. Saldo &amp; pasangan — tab awal</x:v>
      </x:c>
      <x:c r="F11" s="17" t="str">
        <x:v>1. Saldo &amp; pasangan — tab awal</x:v>
      </x:c>
      <x:c r="G11" s="17" t="str">
        <x:v>1. Saldo &amp; pasangan — tab awal</x:v>
      </x:c>
      <x:c r="H11" s="17" t="str">
        <x:v>1. Saldo &amp; pasangan — tab awal</x:v>
      </x:c>
    </x:row>
    <x:row r="12" ht="32" customHeight="1">
      <x:c r="A12" s="15" t="str">
        <x:v>Tujuan tab</x:v>
      </x:c>
      <x:c r="B12" s="14" t="str">
        <x:v>Posisi kedua pihak dengan pemisahan hubungan barang dan pembiayaan.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lawan; jenis; periode; status pasangan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Pasangan</x:v>
      </x:c>
      <x:c r="B14" s="10" t="str">
        <x:v>Unit</x:v>
      </x:c>
      <x:c r="C14" s="10" t="str">
        <x:v>Lawan</x:v>
      </x:c>
      <x:c r="D14" s="10" t="str">
        <x:v>Jenis hubungan</x:v>
      </x:c>
      <x:c r="E14" s="10" t="str">
        <x:v>Saldo unit Rp</x:v>
      </x:c>
      <x:c r="F14" s="10" t="str">
        <x:v>Saldo lawan Rp</x:v>
      </x:c>
      <x:c r="G14" s="10" t="str">
        <x:v>Selisih Rp</x:v>
      </x:c>
      <x:c r="H14" s="10" t="str">
        <x:v>Status</x:v>
      </x:c>
    </x:row>
    <x:row r="15" ht="48" customHeight="1">
      <x:c r="A15" s="8" t="str">
        <x:v>IC-001</x:v>
      </x:c>
      <x:c r="B15" s="8" t="str">
        <x:v>C006</x:v>
      </x:c>
      <x:c r="C15" s="8" t="str">
        <x:v>HO</x:v>
      </x:c>
      <x:c r="D15" s="8" t="str">
        <x:v>Barang</x:v>
      </x:c>
      <x:c r="E15" s="18" t="n">
        <x:v>2000000</x:v>
      </x:c>
      <x:c r="F15" s="18" t="n">
        <x:v>-2000000</x:v>
      </x:c>
      <x:c r="G15" s="18" t="n">
        <x:f>E15+F15</x:f>
        <x:v>0</x:v>
      </x:c>
      <x:c r="H15" s="8" t="str">
        <x:v>Cocok</x:v>
      </x:c>
    </x:row>
    <x:row r="17" ht="32" customHeight="1">
      <x:c r="A17" s="15" t="str">
        <x:v>Tombol / tindakan</x:v>
      </x:c>
      <x:c r="B17" s="14" t="str">
        <x:v>Buka pasangan; telusuri dokumen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Cocok; sepihak; selisih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Rincian masing-masing pihak, jenis akun, sumber, mata uang, periode dan dasar eliminasi.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Dokumen sumber kedua pihak → pasangan → rekonsiliasi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Transaksi</x:v>
      </x:c>
      <x:c r="B24" s="17" t="str">
        <x:v>2. Transaksi</x:v>
      </x:c>
      <x:c r="C24" s="17" t="str">
        <x:v>2. Transaksi</x:v>
      </x:c>
      <x:c r="D24" s="17" t="str">
        <x:v>2. Transaksi</x:v>
      </x:c>
      <x:c r="E24" s="17" t="str">
        <x:v>2. Transaksi</x:v>
      </x:c>
      <x:c r="F24" s="17" t="str">
        <x:v>2. Transaksi</x:v>
      </x:c>
      <x:c r="G24" s="17" t="str">
        <x:v>2. Transaksi</x:v>
      </x:c>
      <x:c r="H24" s="17" t="str">
        <x:v>2. Transaksi</x:v>
      </x:c>
    </x:row>
    <x:row r="25" ht="32" customHeight="1">
      <x:c r="A25" s="15" t="str">
        <x:v>Tujuan tab</x:v>
      </x:c>
      <x:c r="B25" s="14" t="str">
        <x:v>Daftar kejadian yang membentuk saldo antarunit.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unit/lawan; tanggal; sumber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Transaksi</x:v>
      </x:c>
      <x:c r="B27" s="10" t="str">
        <x:v>Tanggal</x:v>
      </x:c>
      <x:c r="C27" s="10" t="str">
        <x:v>Dari</x:v>
      </x:c>
      <x:c r="D27" s="10" t="str">
        <x:v>Ke</x:v>
      </x:c>
      <x:c r="E27" s="10" t="str">
        <x:v>Jenis</x:v>
      </x:c>
      <x:c r="F27" s="10" t="str">
        <x:v>Nilai Rp</x:v>
      </x:c>
      <x:c r="G27" s="10" t="str">
        <x:v>Sumber</x:v>
      </x:c>
      <x:c r="H27" s="10" t="str">
        <x:v>Status</x:v>
      </x:c>
    </x:row>
    <x:row r="28" ht="48" customHeight="1">
      <x:c r="A28" s="8" t="str">
        <x:v>IC-001</x:v>
      </x:c>
      <x:c r="B28" s="19" t="n">
        <x:v>46275</x:v>
      </x:c>
      <x:c r="C28" s="8" t="str">
        <x:v>HO</x:v>
      </x:c>
      <x:c r="D28" s="8" t="str">
        <x:v>C006</x:v>
      </x:c>
      <x:c r="E28" s="8" t="str">
        <x:v>Barang</x:v>
      </x:c>
      <x:c r="F28" s="18" t="n">
        <x:v>2000000</x:v>
      </x:c>
      <x:c r="G28" s="8" t="str">
        <x:v>SHP-001</x:v>
      </x:c>
      <x:c r="H28" s="8" t="str">
        <x:v>Berpasangan</x:v>
      </x:c>
    </x:row>
    <x:row r="30" ht="32" customHeight="1">
      <x:c r="A30" s="15" t="str">
        <x:v>Tombol / tindakan</x:v>
      </x:c>
      <x:c r="B30" s="14" t="str">
        <x:v>Buka sumber; buat pendanaan antarunit; catat alokasi bersama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menunggu pasangan; berpasangan; dikoreksi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Dokumen sumber, dasar pembebanan, jenis hubungan dan jurnal dua pihak. Barang tidak dibuat ulang di sini.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Barang/pendanaan/alokasi → posting sesuai jenis → saldo pasangan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Penyelesaian</x:v>
      </x:c>
      <x:c r="B37" s="17" t="str">
        <x:v>3. Penyelesaian</x:v>
      </x:c>
      <x:c r="C37" s="17" t="str">
        <x:v>3. Penyelesaian</x:v>
      </x:c>
      <x:c r="D37" s="17" t="str">
        <x:v>3. Penyelesaian</x:v>
      </x:c>
      <x:c r="E37" s="17" t="str">
        <x:v>3. Penyelesaian</x:v>
      </x:c>
      <x:c r="F37" s="17" t="str">
        <x:v>3. Penyelesaian</x:v>
      </x:c>
      <x:c r="G37" s="17" t="str">
        <x:v>3. Penyelesaian</x:v>
      </x:c>
      <x:c r="H37" s="17" t="str">
        <x:v>3. Penyelesaian</x:v>
      </x:c>
    </x:row>
    <x:row r="38" ht="32" customHeight="1">
      <x:c r="A38" s="15" t="str">
        <x:v>Tujuan tab</x:v>
      </x:c>
      <x:c r="B38" s="14" t="str">
        <x:v>Pelunasan yang dialokasikan pada saldo hubungan tertentu.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Jenis saldo; unit; lawan;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Penyelesaian</x:v>
      </x:c>
      <x:c r="B40" s="10" t="str">
        <x:v>Pembayar</x:v>
      </x:c>
      <x:c r="C40" s="10" t="str">
        <x:v>Penerima</x:v>
      </x:c>
      <x:c r="D40" s="10" t="str">
        <x:v>Jenis saldo</x:v>
      </x:c>
      <x:c r="E40" s="10" t="str">
        <x:v>Nilai Rp</x:v>
      </x:c>
      <x:c r="F40" s="10" t="str">
        <x:v>Pembayaran</x:v>
      </x:c>
      <x:c r="G40" s="10" t="str">
        <x:v>Tanggal</x:v>
      </x:c>
      <x:c r="H40" s="10" t="str">
        <x:v>Status</x:v>
      </x:c>
    </x:row>
    <x:row r="41" ht="48" customHeight="1">
      <x:c r="A41" s="8" t="str">
        <x:v>ICS-001</x:v>
      </x:c>
      <x:c r="B41" s="8" t="str">
        <x:v>C006</x:v>
      </x:c>
      <x:c r="C41" s="8" t="str">
        <x:v>HO</x:v>
      </x:c>
      <x:c r="D41" s="8" t="str">
        <x:v>Pendanaan</x:v>
      </x:c>
      <x:c r="E41" s="18" t="n">
        <x:v>1000000</x:v>
      </x:c>
      <x:c r="F41" s="8" t="str">
        <x:v>PAY-IC-001</x:v>
      </x:c>
      <x:c r="G41" s="19" t="n">
        <x:v>46276</x:v>
      </x:c>
      <x:c r="H41" s="8" t="str">
        <x:v>Disiapkan</x:v>
      </x:c>
    </x:row>
    <x:row r="43" ht="32" customHeight="1">
      <x:c r="A43" s="15" t="str">
        <x:v>Tombol / tindakan</x:v>
      </x:c>
      <x:c r="B43" s="14" t="str">
        <x:v>Pilih saldo; siapkan pembayaran; alokasikan; buka bukti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Disiapkan; disetujui; dibayar; teralokasi;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Saldo tujuan, jenis hubungan, pembayaran, alokasi nominal dan jurnal dua pihak.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Saldo hubungan → Kas &amp; Bank → alokasi keluarga yang sama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Rekonsiliasi</x:v>
      </x:c>
      <x:c r="B50" s="17" t="str">
        <x:v>4. Rekonsiliasi</x:v>
      </x:c>
      <x:c r="C50" s="17" t="str">
        <x:v>4. Rekonsiliasi</x:v>
      </x:c>
      <x:c r="D50" s="17" t="str">
        <x:v>4. Rekonsiliasi</x:v>
      </x:c>
      <x:c r="E50" s="17" t="str">
        <x:v>4. Rekonsiliasi</x:v>
      </x:c>
      <x:c r="F50" s="17" t="str">
        <x:v>4. Rekonsiliasi</x:v>
      </x:c>
      <x:c r="G50" s="17" t="str">
        <x:v>4. Rekonsiliasi</x:v>
      </x:c>
      <x:c r="H50" s="17" t="str">
        <x:v>4. Rekonsiliasi</x:v>
      </x:c>
    </x:row>
    <x:row r="51" ht="32" customHeight="1">
      <x:c r="A51" s="15" t="str">
        <x:v>Tujuan tab</x:v>
      </x:c>
      <x:c r="B51" s="14" t="str">
        <x:v>Penyelesaian perbedaan antarunit sebelum tutup buku.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Periode; unit; lawan; penyebab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Kasus</x:v>
      </x:c>
      <x:c r="B53" s="10" t="str">
        <x:v>Unit</x:v>
      </x:c>
      <x:c r="C53" s="10" t="str">
        <x:v>Lawan</x:v>
      </x:c>
      <x:c r="D53" s="10" t="str">
        <x:v>Periode</x:v>
      </x:c>
      <x:c r="E53" s="10" t="str">
        <x:v>Dokumen</x:v>
      </x:c>
      <x:c r="F53" s="10" t="str">
        <x:v>Selisih Rp</x:v>
      </x:c>
      <x:c r="G53" s="10" t="str">
        <x:v>Penyebab</x:v>
      </x:c>
      <x:c r="H53" s="10" t="str">
        <x:v>Status</x:v>
      </x:c>
    </x:row>
    <x:row r="54" ht="48" customHeight="1">
      <x:c r="A54" s="8" t="str">
        <x:v>ICR-001</x:v>
      </x:c>
      <x:c r="B54" s="8" t="str">
        <x:v>C004</x:v>
      </x:c>
      <x:c r="C54" s="8" t="str">
        <x:v>HO</x:v>
      </x:c>
      <x:c r="D54" s="8" t="str">
        <x:v>2026-09</x:v>
      </x:c>
      <x:c r="E54" s="8" t="str">
        <x:v>SHP-002</x:v>
      </x:c>
      <x:c r="F54" s="18" t="n">
        <x:v>500000</x:v>
      </x:c>
      <x:c r="G54" s="8" t="str">
        <x:v>Belum diterima</x:v>
      </x:c>
      <x:c r="H54" s="8" t="str">
        <x:v>Terbuka</x:v>
      </x:c>
    </x:row>
    <x:row r="56" ht="32" customHeight="1">
      <x:c r="A56" s="15" t="str">
        <x:v>Tombol / tindakan</x:v>
      </x:c>
      <x:c r="B56" s="14" t="str">
        <x:v>Bandingkan; minta koreksi sumber; tandai selesai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Terbuka; dikonfirmasi; dikoreksi; selesai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Bukti dua pihak, perbedaan waktu/nilai, tindakan pada sumber. Tidak membuat jurnal selisih otomatis tanpa dasar.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Bandingkan → koreksi sumber → cocok → tutup buku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9e79c0c875f2488a"/>
    <x:tablePart xmlns:r="http://schemas.openxmlformats.org/officeDocument/2006/relationships" r:id="R694c8b5c6164469f"/>
    <x:tablePart xmlns:r="http://schemas.openxmlformats.org/officeDocument/2006/relationships" r:id="R80bc5d3ec979499a"/>
    <x:tablePart xmlns:r="http://schemas.openxmlformats.org/officeDocument/2006/relationships" r:id="R289d966dd28f4c9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Aset &amp; Proyek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biaya pembangunan, kapitalisasi, umur manfaat dan pelepasan aset.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Akuntan aset dan pemilik proyek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Tagihan vendor tetap di Tagihan. Proyek/aset menyimpan alokasi dan keputusan kapitalisasi, memakai sumber tagihan yang sama.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Nilai buku aset; proyek berjalan; kapitalisasi tertunda; penyusutan periode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Cakupan kelas aset perlu dilengkapi; biaya terkait akuisisi harus mengikuti dokumen sumber, bukan otomatis dibuat ganda.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Daftar aset — tab awal</x:v>
      </x:c>
      <x:c r="B11" s="17" t="str">
        <x:v>1. Daftar aset — tab awal</x:v>
      </x:c>
      <x:c r="C11" s="17" t="str">
        <x:v>1. Daftar aset — tab awal</x:v>
      </x:c>
      <x:c r="D11" s="17" t="str">
        <x:v>1. Daftar aset — tab awal</x:v>
      </x:c>
      <x:c r="E11" s="17" t="str">
        <x:v>1. Daftar aset — tab awal</x:v>
      </x:c>
      <x:c r="F11" s="17" t="str">
        <x:v>1. Daftar aset — tab awal</x:v>
      </x:c>
      <x:c r="G11" s="17" t="str">
        <x:v>1. Daftar aset — tab awal</x:v>
      </x:c>
      <x:c r="H11" s="17" t="str">
        <x:v>1. Daftar aset — tab awal</x:v>
      </x:c>
    </x:row>
    <x:row r="12" ht="32" customHeight="1">
      <x:c r="A12" s="15" t="str">
        <x:v>Tujuan tab</x:v>
      </x:c>
      <x:c r="B12" s="14" t="str">
        <x:v>Register aset per unit dan kelas.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kelas; lokasi;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Aset</x:v>
      </x:c>
      <x:c r="B14" s="10" t="str">
        <x:v>Nama</x:v>
      </x:c>
      <x:c r="C14" s="10" t="str">
        <x:v>Unit</x:v>
      </x:c>
      <x:c r="D14" s="10" t="str">
        <x:v>Kelas</x:v>
      </x:c>
      <x:c r="E14" s="10" t="str">
        <x:v>Perolehan Rp</x:v>
      </x:c>
      <x:c r="F14" s="10" t="str">
        <x:v>Akumulasi Rp</x:v>
      </x:c>
      <x:c r="G14" s="10" t="str">
        <x:v>Nilai buku Rp</x:v>
      </x:c>
      <x:c r="H14" s="10" t="str">
        <x:v>Status</x:v>
      </x:c>
    </x:row>
    <x:row r="15" ht="48" customHeight="1">
      <x:c r="A15" s="8" t="str">
        <x:v>AST-001</x:v>
      </x:c>
      <x:c r="B15" s="8" t="str">
        <x:v>Peralatan toko</x:v>
      </x:c>
      <x:c r="C15" s="8" t="str">
        <x:v>C006</x:v>
      </x:c>
      <x:c r="D15" s="8" t="str">
        <x:v>Peralatan</x:v>
      </x:c>
      <x:c r="E15" s="18" t="n">
        <x:v>24000000</x:v>
      </x:c>
      <x:c r="F15" s="18" t="n">
        <x:v>0</x:v>
      </x:c>
      <x:c r="G15" s="18" t="n">
        <x:f>E15-F15</x:f>
        <x:v>24000000</x:v>
      </x:c>
      <x:c r="H15" s="8" t="str">
        <x:v>Aktif</x:v>
      </x:c>
    </x:row>
    <x:row r="17" ht="32" customHeight="1">
      <x:c r="A17" s="15" t="str">
        <x:v>Tombol / tindakan</x:v>
      </x:c>
      <x:c r="B17" s="14" t="str">
        <x:v>Lihat aset; kapitalisasi dari sumber; ajukan transfer/pelepasan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Dalam persiapan; aktif; dihentikan; dilepas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Sumber biaya, tanggal siap pakai, umur manfaat, penanggung jawab, jadwal, perpindahan dan jurnal.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Biaya/proyek → siap pakai → aset → penyusutan → pelepasan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Proyek berjalan</x:v>
      </x:c>
      <x:c r="B24" s="17" t="str">
        <x:v>2. Proyek berjalan</x:v>
      </x:c>
      <x:c r="C24" s="17" t="str">
        <x:v>2. Proyek berjalan</x:v>
      </x:c>
      <x:c r="D24" s="17" t="str">
        <x:v>2. Proyek berjalan</x:v>
      </x:c>
      <x:c r="E24" s="17" t="str">
        <x:v>2. Proyek berjalan</x:v>
      </x:c>
      <x:c r="F24" s="17" t="str">
        <x:v>2. Proyek berjalan</x:v>
      </x:c>
      <x:c r="G24" s="17" t="str">
        <x:v>2. Proyek berjalan</x:v>
      </x:c>
      <x:c r="H24" s="17" t="str">
        <x:v>2. Proyek berjalan</x:v>
      </x:c>
    </x:row>
    <x:row r="25" ht="32" customHeight="1">
      <x:c r="A25" s="15" t="str">
        <x:v>Tujuan tab</x:v>
      </x:c>
      <x:c r="B25" s="14" t="str">
        <x:v>Biaya yang dikumpulkan sebelum menjadi aset atau beban.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Unit; proyek; status; periode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Proyek</x:v>
      </x:c>
      <x:c r="B27" s="10" t="str">
        <x:v>Unit</x:v>
      </x:c>
      <x:c r="C27" s="10" t="str">
        <x:v>Penanggung jawab</x:v>
      </x:c>
      <x:c r="D27" s="10" t="str">
        <x:v>Mulai</x:v>
      </x:c>
      <x:c r="E27" s="10" t="str">
        <x:v>Biaya Rp</x:v>
      </x:c>
      <x:c r="F27" s="10" t="str">
        <x:v>Dikapitalisasi Rp</x:v>
      </x:c>
      <x:c r="G27" s="10" t="str">
        <x:v>Sisa Rp</x:v>
      </x:c>
      <x:c r="H27" s="10" t="str">
        <x:v>Status</x:v>
      </x:c>
    </x:row>
    <x:row r="28" ht="48" customHeight="1">
      <x:c r="A28" s="8" t="str">
        <x:v>PRJ-001</x:v>
      </x:c>
      <x:c r="B28" s="8" t="str">
        <x:v>C006</x:v>
      </x:c>
      <x:c r="C28" s="8" t="str">
        <x:v>Pemilik proyek</x:v>
      </x:c>
      <x:c r="D28" s="19" t="n">
        <x:v>46266</x:v>
      </x:c>
      <x:c r="E28" s="18" t="n">
        <x:v>30000000</x:v>
      </x:c>
      <x:c r="F28" s="18" t="n">
        <x:v>0</x:v>
      </x:c>
      <x:c r="G28" s="18" t="n">
        <x:f>E28-F28</x:f>
        <x:v>30000000</x:v>
      </x:c>
      <x:c r="H28" s="8" t="str">
        <x:v>Berjalan</x:v>
      </x:c>
    </x:row>
    <x:row r="30" ht="32" customHeight="1">
      <x:c r="A30" s="15" t="str">
        <x:v>Tombol / tindakan</x:v>
      </x:c>
      <x:c r="B30" s="14" t="str">
        <x:v>Buat proyek; tautkan tagihan; review biaya; kapitalisasi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berjalan; siap kapitalisasi; selesai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Baris biaya sumber, komponen aset, bukti siap pakai dan biaya yang dibebankan.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Tagihan proyek → review klasifikasi → kapitalisasi/beban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Penyusutan &amp; amortisasi</x:v>
      </x:c>
      <x:c r="B37" s="17" t="str">
        <x:v>3. Penyusutan &amp; amortisasi</x:v>
      </x:c>
      <x:c r="C37" s="17" t="str">
        <x:v>3. Penyusutan &amp; amortisasi</x:v>
      </x:c>
      <x:c r="D37" s="17" t="str">
        <x:v>3. Penyusutan &amp; amortisasi</x:v>
      </x:c>
      <x:c r="E37" s="17" t="str">
        <x:v>3. Penyusutan &amp; amortisasi</x:v>
      </x:c>
      <x:c r="F37" s="17" t="str">
        <x:v>3. Penyusutan &amp; amortisasi</x:v>
      </x:c>
      <x:c r="G37" s="17" t="str">
        <x:v>3. Penyusutan &amp; amortisasi</x:v>
      </x:c>
      <x:c r="H37" s="17" t="str">
        <x:v>3. Penyusutan &amp; amortisasi</x:v>
      </x:c>
    </x:row>
    <x:row r="38" ht="32" customHeight="1">
      <x:c r="A38" s="15" t="str">
        <x:v>Tujuan tab</x:v>
      </x:c>
      <x:c r="B38" s="14" t="str">
        <x:v>Jadwal periodik yang akan diperiksa saat tutup buku.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Periode; unit; kelas; status posting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Aset/jadwal</x:v>
      </x:c>
      <x:c r="B40" s="10" t="str">
        <x:v>Unit</x:v>
      </x:c>
      <x:c r="C40" s="10" t="str">
        <x:v>Periode</x:v>
      </x:c>
      <x:c r="D40" s="10" t="str">
        <x:v>Dasar Rp</x:v>
      </x:c>
      <x:c r="E40" s="10" t="str">
        <x:v>Beban periode Rp</x:v>
      </x:c>
      <x:c r="F40" s="10" t="str">
        <x:v>Sisa Rp</x:v>
      </x:c>
      <x:c r="G40" s="10" t="str">
        <x:v>Status</x:v>
      </x:c>
      <x:c r="H40" s="10" t="str">
        <x:v>Aksi</x:v>
      </x:c>
    </x:row>
    <x:row r="41" ht="48" customHeight="1">
      <x:c r="A41" s="8" t="str">
        <x:v>AST-001</x:v>
      </x:c>
      <x:c r="B41" s="8" t="str">
        <x:v>C006</x:v>
      </x:c>
      <x:c r="C41" s="8" t="str">
        <x:v>2026-09</x:v>
      </x:c>
      <x:c r="D41" s="18" t="n">
        <x:v>24000000</x:v>
      </x:c>
      <x:c r="E41" s="18" t="n">
        <x:v>500000</x:v>
      </x:c>
      <x:c r="F41" s="18" t="n">
        <x:f>D41-E41</x:f>
        <x:v>23500000</x:v>
      </x:c>
      <x:c r="G41" s="8" t="str">
        <x:v>Usulan</x:v>
      </x:c>
      <x:c r="H41" s="8" t="str">
        <x:v>Tinjau jadwal</x:v>
      </x:c>
    </x:row>
    <x:row r="43" ht="32" customHeight="1">
      <x:c r="A43" s="15" t="str">
        <x:v>Tombol / tindakan</x:v>
      </x:c>
      <x:c r="B43" s="14" t="str">
        <x:v>Tinjau; perbaiki sumber; buka jurnal periode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Usulan; direview; diposting;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Dasar hitung, masa manfaat dan kebijakan, perubahan, jurnal. Angka contoh bukan kebijakan umur manfaat perusahaan.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Jadwal → review Akuntansi → posting periode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Transfer &amp; pelepasan</x:v>
      </x:c>
      <x:c r="B50" s="17" t="str">
        <x:v>4. Transfer &amp; pelepasan</x:v>
      </x:c>
      <x:c r="C50" s="17" t="str">
        <x:v>4. Transfer &amp; pelepasan</x:v>
      </x:c>
      <x:c r="D50" s="17" t="str">
        <x:v>4. Transfer &amp; pelepasan</x:v>
      </x:c>
      <x:c r="E50" s="17" t="str">
        <x:v>4. Transfer &amp; pelepasan</x:v>
      </x:c>
      <x:c r="F50" s="17" t="str">
        <x:v>4. Transfer &amp; pelepasan</x:v>
      </x:c>
      <x:c r="G50" s="17" t="str">
        <x:v>4. Transfer &amp; pelepasan</x:v>
      </x:c>
      <x:c r="H50" s="17" t="str">
        <x:v>4. Transfer &amp; pelepasan</x:v>
      </x:c>
    </x:row>
    <x:row r="51" ht="32" customHeight="1">
      <x:c r="A51" s="15" t="str">
        <x:v>Tujuan tab</x:v>
      </x:c>
      <x:c r="B51" s="14" t="str">
        <x:v>Perubahan penguasaan atau penghentian aset.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Jenis; unit; aset;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Dokumen</x:v>
      </x:c>
      <x:c r="B53" s="10" t="str">
        <x:v>Aset</x:v>
      </x:c>
      <x:c r="C53" s="10" t="str">
        <x:v>Jenis</x:v>
      </x:c>
      <x:c r="D53" s="10" t="str">
        <x:v>Dari</x:v>
      </x:c>
      <x:c r="E53" s="10" t="str">
        <x:v>Ke/pihak</x:v>
      </x:c>
      <x:c r="F53" s="10" t="str">
        <x:v>Nilai buku Rp</x:v>
      </x:c>
      <x:c r="G53" s="10" t="str">
        <x:v>Tanggal</x:v>
      </x:c>
      <x:c r="H53" s="10" t="str">
        <x:v>Status</x:v>
      </x:c>
    </x:row>
    <x:row r="54" ht="48" customHeight="1">
      <x:c r="A54" s="8" t="str">
        <x:v>AMV-001</x:v>
      </x:c>
      <x:c r="B54" s="8" t="str">
        <x:v>AST-001</x:v>
      </x:c>
      <x:c r="C54" s="8" t="str">
        <x:v>Transfer</x:v>
      </x:c>
      <x:c r="D54" s="8" t="str">
        <x:v>C006</x:v>
      </x:c>
      <x:c r="E54" s="8" t="str">
        <x:v>C004</x:v>
      </x:c>
      <x:c r="F54" s="18" t="n">
        <x:v>24000000</x:v>
      </x:c>
      <x:c r="G54" s="19" t="n">
        <x:v>46280</x:v>
      </x:c>
      <x:c r="H54" s="8" t="str">
        <x:v>Diajukan</x:v>
      </x:c>
    </x:row>
    <x:row r="56" ht="32" customHeight="1">
      <x:c r="A56" s="15" t="str">
        <x:v>Tombol / tindakan</x:v>
      </x:c>
      <x:c r="B56" s="14" t="str">
        <x:v>Ajukan; setujui; konfirmasi serah terima; buka penerimaan penjualan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Diajukan; disetujui; selesai; dibatalkan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Persetujuan, nilai buku, penerimaan jika dijual, laba/rugi dan pasangan Antarunit jika relevan.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Permintaan → persetujuan → serah terima/penjualan → jurnal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859a0211748d467f"/>
    <x:tablePart xmlns:r="http://schemas.openxmlformats.org/officeDocument/2006/relationships" r:id="R48e5e448d5ff4df8"/>
    <x:tablePart xmlns:r="http://schemas.openxmlformats.org/officeDocument/2006/relationships" r:id="R973fae6cf6544f29"/>
    <x:tablePart xmlns:r="http://schemas.openxmlformats.org/officeDocument/2006/relationships" r:id="Re673594f064f422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Payroll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Menyelesaikan kewajiban pegawai berdasarkan payroll yang disetujui HR.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payroll dengan akses terbatas</x:v>
      </x:c>
      <x:c r="C6" s="14"/>
      <x:c r="D6" s="14"/>
      <x:c r="E6" s="14"/>
      <x:c r="F6" s="14"/>
      <x:c r="G6" s="14"/>
      <x:c r="H6" s="14"/>
    </x:row>
    <x:row r="7" ht="40" customHeight="1">
      <x:c r="A7" s="15" t="str">
        <x:v>Batas tanggung jawab</x:v>
      </x:c>
      <x:c r="B7" s="14" t="str">
        <x:v>HR memiliki data pegawai, kehadiran dan perhitungan dasar. Finance memvalidasi kewajiban dan pembayaran; pajak diselesaikan di Pajak.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Batch siap bayar; gaji belum dibayar; potongan; piutang pegawai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Potongan pinjaman wajib terhubung ke payroll/jurnal; tidak cukup mengubah saldo pelunasan register.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Batch payroll — tab awal</x:v>
      </x:c>
      <x:c r="B11" s="17" t="str">
        <x:v>1. Batch payroll — tab awal</x:v>
      </x:c>
      <x:c r="C11" s="17" t="str">
        <x:v>1. Batch payroll — tab awal</x:v>
      </x:c>
      <x:c r="D11" s="17" t="str">
        <x:v>1. Batch payroll — tab awal</x:v>
      </x:c>
      <x:c r="E11" s="17" t="str">
        <x:v>1. Batch payroll — tab awal</x:v>
      </x:c>
      <x:c r="F11" s="17" t="str">
        <x:v>1. Batch payroll — tab awal</x:v>
      </x:c>
      <x:c r="G11" s="17" t="str">
        <x:v>1. Batch payroll — tab awal</x:v>
      </x:c>
      <x:c r="H11" s="17" t="str">
        <x:v>1. Batch payroll — tab awal</x:v>
      </x:c>
    </x:row>
    <x:row r="12" ht="32" customHeight="1">
      <x:c r="A12" s="15" t="str">
        <x:v>Tujuan tab</x:v>
      </x:c>
      <x:c r="B12" s="14" t="str">
        <x:v>Batch payroll untuk review dan pembayaran.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Periode; unit;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Batch</x:v>
      </x:c>
      <x:c r="B14" s="10" t="str">
        <x:v>Periode</x:v>
      </x:c>
      <x:c r="C14" s="10" t="str">
        <x:v>Unit</x:v>
      </x:c>
      <x:c r="D14" s="10" t="str">
        <x:v>Pegawai</x:v>
      </x:c>
      <x:c r="E14" s="10" t="str">
        <x:v>Bruto Rp</x:v>
      </x:c>
      <x:c r="F14" s="10" t="str">
        <x:v>Potongan Rp</x:v>
      </x:c>
      <x:c r="G14" s="10" t="str">
        <x:v>Neto Rp</x:v>
      </x:c>
      <x:c r="H14" s="10" t="str">
        <x:v>Status</x:v>
      </x:c>
    </x:row>
    <x:row r="15" ht="48" customHeight="1">
      <x:c r="A15" s="8" t="str">
        <x:v>PR-001</x:v>
      </x:c>
      <x:c r="B15" s="8" t="str">
        <x:v>2026-09</x:v>
      </x:c>
      <x:c r="C15" s="8" t="str">
        <x:v>C006</x:v>
      </x:c>
      <x:c r="D15" s="8" t="n">
        <x:v>1</x:v>
      </x:c>
      <x:c r="E15" s="18" t="n">
        <x:v>5000000</x:v>
      </x:c>
      <x:c r="F15" s="18" t="n">
        <x:v>500000</x:v>
      </x:c>
      <x:c r="G15" s="18" t="n">
        <x:f>E15-F15</x:f>
        <x:v>4500000</x:v>
      </x:c>
      <x:c r="H15" s="8" t="str">
        <x:v>Disetujui</x:v>
      </x:c>
    </x:row>
    <x:row r="17" ht="32" customHeight="1">
      <x:c r="A17" s="15" t="str">
        <x:v>Tombol / tindakan</x:v>
      </x:c>
      <x:c r="B17" s="14" t="str">
        <x:v>Ambil batch HR; review; setujui; siapkan pembayaran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Diterima; direview; disetujui; sebagian dibayar; selesai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Rincian pegawai sesuai hak akses, komponen, potongan, pajak, jurnal kewajiban dan pembayaran.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HR disetujui → review finance → kewajiban → Kas &amp; Bank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Kewajiban &amp; pembayaran</x:v>
      </x:c>
      <x:c r="B24" s="17" t="str">
        <x:v>2. Kewajiban &amp; pembayaran</x:v>
      </x:c>
      <x:c r="C24" s="17" t="str">
        <x:v>2. Kewajiban &amp; pembayaran</x:v>
      </x:c>
      <x:c r="D24" s="17" t="str">
        <x:v>2. Kewajiban &amp; pembayaran</x:v>
      </x:c>
      <x:c r="E24" s="17" t="str">
        <x:v>2. Kewajiban &amp; pembayaran</x:v>
      </x:c>
      <x:c r="F24" s="17" t="str">
        <x:v>2. Kewajiban &amp; pembayaran</x:v>
      </x:c>
      <x:c r="G24" s="17" t="str">
        <x:v>2. Kewajiban &amp; pembayaran</x:v>
      </x:c>
      <x:c r="H24" s="17" t="str">
        <x:v>2. Kewajiban &amp; pembayaran</x:v>
      </x:c>
    </x:row>
    <x:row r="25" ht="32" customHeight="1">
      <x:c r="A25" s="15" t="str">
        <x:v>Tujuan tab</x:v>
      </x:c>
      <x:c r="B25" s="14" t="str">
        <x:v>Saldo gaji dan komponen yang belum selesai dibayar.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Batch; unit; penerima;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Kewajiban</x:v>
      </x:c>
      <x:c r="B27" s="10" t="str">
        <x:v>Batch</x:v>
      </x:c>
      <x:c r="C27" s="10" t="str">
        <x:v>Unit</x:v>
      </x:c>
      <x:c r="D27" s="10" t="str">
        <x:v>Penerima</x:v>
      </x:c>
      <x:c r="E27" s="10" t="str">
        <x:v>Nilai Rp</x:v>
      </x:c>
      <x:c r="F27" s="10" t="str">
        <x:v>Dibayar Rp</x:v>
      </x:c>
      <x:c r="G27" s="10" t="str">
        <x:v>Sisa Rp</x:v>
      </x:c>
      <x:c r="H27" s="10" t="str">
        <x:v>Status</x:v>
      </x:c>
    </x:row>
    <x:row r="28" ht="48" customHeight="1">
      <x:c r="A28" s="8" t="str">
        <x:v>PRP-001</x:v>
      </x:c>
      <x:c r="B28" s="8" t="str">
        <x:v>PR-001</x:v>
      </x:c>
      <x:c r="C28" s="8" t="str">
        <x:v>C006</x:v>
      </x:c>
      <x:c r="D28" s="8" t="str">
        <x:v>Pegawai A</x:v>
      </x:c>
      <x:c r="E28" s="18" t="n">
        <x:v>4500000</x:v>
      </x:c>
      <x:c r="F28" s="18" t="n">
        <x:v>0</x:v>
      </x:c>
      <x:c r="G28" s="18" t="n">
        <x:f>E28-F28</x:f>
        <x:v>4500000</x:v>
      </x:c>
      <x:c r="H28" s="8" t="str">
        <x:v>Belum dibayar</x:v>
      </x:c>
    </x:row>
    <x:row r="30" ht="32" customHeight="1">
      <x:c r="A30" s="15" t="str">
        <x:v>Tombol / tindakan</x:v>
      </x:c>
      <x:c r="B30" s="14" t="str">
        <x:v>Bayar batch; buka pembayaran; tinjau gagal transfer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Belum dibayar; diproses; sebagian; lunas; gagal transfer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Rincian komponen, alokasi pembayaran, bukti bank. Kewajiban pajak tertaut ke Pajak tanpa pembayaran duplikat.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Kewajiban payroll → pembayaran → alokasi per penerima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Pinjaman pegawai</x:v>
      </x:c>
      <x:c r="B37" s="17" t="str">
        <x:v>3. Pinjaman pegawai</x:v>
      </x:c>
      <x:c r="C37" s="17" t="str">
        <x:v>3. Pinjaman pegawai</x:v>
      </x:c>
      <x:c r="D37" s="17" t="str">
        <x:v>3. Pinjaman pegawai</x:v>
      </x:c>
      <x:c r="E37" s="17" t="str">
        <x:v>3. Pinjaman pegawai</x:v>
      </x:c>
      <x:c r="F37" s="17" t="str">
        <x:v>3. Pinjaman pegawai</x:v>
      </x:c>
      <x:c r="G37" s="17" t="str">
        <x:v>3. Pinjaman pegawai</x:v>
      </x:c>
      <x:c r="H37" s="17" t="str">
        <x:v>3. Pinjaman pegawai</x:v>
      </x:c>
    </x:row>
    <x:row r="38" ht="32" customHeight="1">
      <x:c r="A38" s="15" t="str">
        <x:v>Tujuan tab</x:v>
      </x:c>
      <x:c r="B38" s="14" t="str">
        <x:v>Piutang pinjaman dan pemulihan melalui potongan/penerimaan.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Pegawai; unit; status; umur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Pinjaman</x:v>
      </x:c>
      <x:c r="B40" s="10" t="str">
        <x:v>Pegawai</x:v>
      </x:c>
      <x:c r="C40" s="10" t="str">
        <x:v>Unit</x:v>
      </x:c>
      <x:c r="D40" s="10" t="str">
        <x:v>Pokok Rp</x:v>
      </x:c>
      <x:c r="E40" s="10" t="str">
        <x:v>Dilunasi Rp</x:v>
      </x:c>
      <x:c r="F40" s="10" t="str">
        <x:v>Sisa Rp</x:v>
      </x:c>
      <x:c r="G40" s="10" t="str">
        <x:v>Cara pelunasan</x:v>
      </x:c>
      <x:c r="H40" s="10" t="str">
        <x:v>Status</x:v>
      </x:c>
    </x:row>
    <x:row r="41" ht="48" customHeight="1">
      <x:c r="A41" s="8" t="str">
        <x:v>EMP-001</x:v>
      </x:c>
      <x:c r="B41" s="8" t="str">
        <x:v>Pegawai A</x:v>
      </x:c>
      <x:c r="C41" s="8" t="str">
        <x:v>C006</x:v>
      </x:c>
      <x:c r="D41" s="18" t="n">
        <x:v>2000000</x:v>
      </x:c>
      <x:c r="E41" s="18" t="n">
        <x:v>500000</x:v>
      </x:c>
      <x:c r="F41" s="18" t="n">
        <x:f>D41-E41</x:f>
        <x:v>1500000</x:v>
      </x:c>
      <x:c r="G41" s="8" t="str">
        <x:v>Potongan payroll</x:v>
      </x:c>
      <x:c r="H41" s="8" t="str">
        <x:v>Berjalan</x:v>
      </x:c>
    </x:row>
    <x:row r="43" ht="32" customHeight="1">
      <x:c r="A43" s="15" t="str">
        <x:v>Tombol / tindakan</x:v>
      </x:c>
      <x:c r="B43" s="14" t="str">
        <x:v>Ajukan pencairan; jadwalkan potongan; buka alokasi pelunasan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Diajukan; dicairkan; berjalan; lunas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Persetujuan, pembayaran awal, jadwal, potongan batch PR-001 atau penerimaan kas, dan jurnal piutang.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Pencairan → piutang pegawai → potongan/penerimaan → saldo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Rekonsiliasi payroll</x:v>
      </x:c>
      <x:c r="B50" s="17" t="str">
        <x:v>4. Rekonsiliasi payroll</x:v>
      </x:c>
      <x:c r="C50" s="17" t="str">
        <x:v>4. Rekonsiliasi payroll</x:v>
      </x:c>
      <x:c r="D50" s="17" t="str">
        <x:v>4. Rekonsiliasi payroll</x:v>
      </x:c>
      <x:c r="E50" s="17" t="str">
        <x:v>4. Rekonsiliasi payroll</x:v>
      </x:c>
      <x:c r="F50" s="17" t="str">
        <x:v>4. Rekonsiliasi payroll</x:v>
      </x:c>
      <x:c r="G50" s="17" t="str">
        <x:v>4. Rekonsiliasi payroll</x:v>
      </x:c>
      <x:c r="H50" s="17" t="str">
        <x:v>4. Rekonsiliasi payroll</x:v>
      </x:c>
    </x:row>
    <x:row r="51" ht="32" customHeight="1">
      <x:c r="A51" s="15" t="str">
        <x:v>Tujuan tab</x:v>
      </x:c>
      <x:c r="B51" s="14" t="str">
        <x:v>Bandingkan batch, jurnal dan pembayaran.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Periode; unit; batch;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Batch</x:v>
      </x:c>
      <x:c r="B53" s="10" t="str">
        <x:v>Unit</x:v>
      </x:c>
      <x:c r="C53" s="10" t="str">
        <x:v>Neto Rp</x:v>
      </x:c>
      <x:c r="D53" s="10" t="str">
        <x:v>Kewajiban tercatat Rp</x:v>
      </x:c>
      <x:c r="E53" s="10" t="str">
        <x:v>Dibayar Rp</x:v>
      </x:c>
      <x:c r="F53" s="10" t="str">
        <x:v>Belum dibayar Rp</x:v>
      </x:c>
      <x:c r="G53" s="10" t="str">
        <x:v>Status</x:v>
      </x:c>
      <x:c r="H53" s="10" t="str">
        <x:v>Aksi</x:v>
      </x:c>
    </x:row>
    <x:row r="54" ht="48" customHeight="1">
      <x:c r="A54" s="8" t="str">
        <x:v>PR-001</x:v>
      </x:c>
      <x:c r="B54" s="8" t="str">
        <x:v>C006</x:v>
      </x:c>
      <x:c r="C54" s="18" t="n">
        <x:v>4500000</x:v>
      </x:c>
      <x:c r="D54" s="18" t="n">
        <x:v>4500000</x:v>
      </x:c>
      <x:c r="E54" s="18" t="n">
        <x:v>0</x:v>
      </x:c>
      <x:c r="F54" s="18" t="n">
        <x:f>D54-E54</x:f>
        <x:v>4500000</x:v>
      </x:c>
      <x:c r="G54" s="8" t="str">
        <x:v>Pembayaran tertunda</x:v>
      </x:c>
      <x:c r="H54" s="8" t="str">
        <x:v>Buka rincian</x:v>
      </x:c>
    </x:row>
    <x:row r="56" ht="32" customHeight="1">
      <x:c r="A56" s="15" t="str">
        <x:v>Tombol / tindakan</x:v>
      </x:c>
      <x:c r="B56" s="14" t="str">
        <x:v>Bandingkan; periksa selisih; buka sumber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Cocok; pembayaran tertunda; selisih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Jumlah batch, kewajiban, transfer gagal, potongan pinjaman dan pajak terkait.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Payroll ↔ jurnal ↔ pembayaran → penutupan periode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1d39b0e882644942"/>
    <x:tablePart xmlns:r="http://schemas.openxmlformats.org/officeDocument/2006/relationships" r:id="R5ff6b4f4c1864e98"/>
    <x:tablePart xmlns:r="http://schemas.openxmlformats.org/officeDocument/2006/relationships" r:id="R56ef9f5ebabc4290"/>
    <x:tablePart xmlns:r="http://schemas.openxmlformats.org/officeDocument/2006/relationships" r:id="Rc08f3f580e5f41a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Pajak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dokumen, kewajiban, pembayaran dan pelaporan pajak.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Tim pajak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Dokumen asal dari penjualan, tagihan dan payroll. Pembayaran memakai Kas &amp; Bank; status lapor terpisah dari status bayar.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Kewajiban belum dibayar; tenggat pembayaran; tenggat pelaporan; dokumen belum cocok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Pisahkan tanggal/status lapor dan bayar; klasifikasi PBB dan kode khusus harus dikonfirmasi.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Kewajiban — tab awal</x:v>
      </x:c>
      <x:c r="B11" s="17" t="str">
        <x:v>1. Kewajiban — tab awal</x:v>
      </x:c>
      <x:c r="C11" s="17" t="str">
        <x:v>1. Kewajiban — tab awal</x:v>
      </x:c>
      <x:c r="D11" s="17" t="str">
        <x:v>1. Kewajiban — tab awal</x:v>
      </x:c>
      <x:c r="E11" s="17" t="str">
        <x:v>1. Kewajiban — tab awal</x:v>
      </x:c>
      <x:c r="F11" s="17" t="str">
        <x:v>1. Kewajiban — tab awal</x:v>
      </x:c>
      <x:c r="G11" s="17" t="str">
        <x:v>1. Kewajiban — tab awal</x:v>
      </x:c>
      <x:c r="H11" s="17" t="str">
        <x:v>1. Kewajiban — tab awal</x:v>
      </x:c>
    </x:row>
    <x:row r="12" ht="32" customHeight="1">
      <x:c r="A12" s="15" t="str">
        <x:v>Tujuan tab</x:v>
      </x:c>
      <x:c r="B12" s="14" t="str">
        <x:v>Saldo kewajiban per jenis dan masa pajak.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Jenis; masa; unit; tenggat; status bayar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Kewajiban</x:v>
      </x:c>
      <x:c r="B14" s="10" t="str">
        <x:v>Jenis</x:v>
      </x:c>
      <x:c r="C14" s="10" t="str">
        <x:v>Masa</x:v>
      </x:c>
      <x:c r="D14" s="10" t="str">
        <x:v>Unit</x:v>
      </x:c>
      <x:c r="E14" s="10" t="str">
        <x:v>Terutang Rp</x:v>
      </x:c>
      <x:c r="F14" s="10" t="str">
        <x:v>Dibayar Rp</x:v>
      </x:c>
      <x:c r="G14" s="10" t="str">
        <x:v>Sisa Rp</x:v>
      </x:c>
      <x:c r="H14" s="10" t="str">
        <x:v>Status bayar</x:v>
      </x:c>
    </x:row>
    <x:row r="15" ht="48" customHeight="1">
      <x:c r="A15" s="8" t="str">
        <x:v>TAX-001</x:v>
      </x:c>
      <x:c r="B15" s="8" t="str">
        <x:v>Pajak potongan</x:v>
      </x:c>
      <x:c r="C15" s="8" t="str">
        <x:v>2026-09</x:v>
      </x:c>
      <x:c r="D15" s="8" t="str">
        <x:v>HO</x:v>
      </x:c>
      <x:c r="E15" s="18" t="n">
        <x:v>500000</x:v>
      </x:c>
      <x:c r="F15" s="18" t="n">
        <x:v>0</x:v>
      </x:c>
      <x:c r="G15" s="18" t="n">
        <x:f>E15-F15</x:f>
        <x:v>500000</x:v>
      </x:c>
      <x:c r="H15" s="8" t="str">
        <x:v>Belum dibayar</x:v>
      </x:c>
    </x:row>
    <x:row r="17" ht="32" customHeight="1">
      <x:c r="A17" s="15" t="str">
        <x:v>Tombol / tindakan</x:v>
      </x:c>
      <x:c r="B17" s="14" t="str">
        <x:v>Tinjau sumber; siapkan pembayaran; buka bukti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Belum dibayar; sebagian; dibayar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Dokumen dasar, penyesuaian, pembayaran, referensi pelaporan. Tenggat mengikuti master kebijakan yang divalidasi tim pajak.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Sumber bisnis → kewajiban pajak → pembayaran → laporan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Dokumen pajak</x:v>
      </x:c>
      <x:c r="B24" s="17" t="str">
        <x:v>2. Dokumen pajak</x:v>
      </x:c>
      <x:c r="C24" s="17" t="str">
        <x:v>2. Dokumen pajak</x:v>
      </x:c>
      <x:c r="D24" s="17" t="str">
        <x:v>2. Dokumen pajak</x:v>
      </x:c>
      <x:c r="E24" s="17" t="str">
        <x:v>2. Dokumen pajak</x:v>
      </x:c>
      <x:c r="F24" s="17" t="str">
        <x:v>2. Dokumen pajak</x:v>
      </x:c>
      <x:c r="G24" s="17" t="str">
        <x:v>2. Dokumen pajak</x:v>
      </x:c>
      <x:c r="H24" s="17" t="str">
        <x:v>2. Dokumen pajak</x:v>
      </x:c>
    </x:row>
    <x:row r="25" ht="32" customHeight="1">
      <x:c r="A25" s="15" t="str">
        <x:v>Tujuan tab</x:v>
      </x:c>
      <x:c r="B25" s="14" t="str">
        <x:v>Dokumen pajak masukan/keluaran/potongan dan sumbernya.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masa; pihak; unit; status validasi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Dokumen</x:v>
      </x:c>
      <x:c r="B27" s="10" t="str">
        <x:v>Jenis</x:v>
      </x:c>
      <x:c r="C27" s="10" t="str">
        <x:v>Nomor referensi</x:v>
      </x:c>
      <x:c r="D27" s="10" t="str">
        <x:v>Tanggal</x:v>
      </x:c>
      <x:c r="E27" s="10" t="str">
        <x:v>Pihak</x:v>
      </x:c>
      <x:c r="F27" s="10" t="str">
        <x:v>Nilai pajak Rp</x:v>
      </x:c>
      <x:c r="G27" s="10" t="str">
        <x:v>Sumber</x:v>
      </x:c>
      <x:c r="H27" s="10" t="str">
        <x:v>Status</x:v>
      </x:c>
    </x:row>
    <x:row r="28" ht="48" customHeight="1">
      <x:c r="A28" s="8" t="str">
        <x:v>TD-001</x:v>
      </x:c>
      <x:c r="B28" s="8" t="str">
        <x:v>Potongan</x:v>
      </x:c>
      <x:c r="C28" s="8" t="str">
        <x:v>ILUSTRASI-001</x:v>
      </x:c>
      <x:c r="D28" s="19" t="n">
        <x:v>46275</x:v>
      </x:c>
      <x:c r="E28" s="8" t="str">
        <x:v>Vendor B</x:v>
      </x:c>
      <x:c r="F28" s="18" t="n">
        <x:v>500000</x:v>
      </x:c>
      <x:c r="G28" s="8" t="str">
        <x:v>BILL-002</x:v>
      </x:c>
      <x:c r="H28" s="8" t="str">
        <x:v>Perlu cocokkan</x:v>
      </x:c>
    </x:row>
    <x:row r="30" ht="32" customHeight="1">
      <x:c r="A30" s="15" t="str">
        <x:v>Tombol / tindakan</x:v>
      </x:c>
      <x:c r="B30" s="14" t="str">
        <x:v>Tautkan dokumen; cocokkan; koreksi sumber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Diterima; perlu cocokkan; cocok; dikoreksi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Saat baris dibuka</x:v>
      </x:c>
      <x:c r="B32" s="14" t="str">
        <x:v>Identitas dokumen, dasar nilai, sumber asli, lampiran, validasi dan riwayat. Nilai hanya ilustrasi, tidak menghitung tarif legal.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Tagihan/penjualan/payroll → dokumen pajak → kewajiban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Pembayaran</x:v>
      </x:c>
      <x:c r="B37" s="17" t="str">
        <x:v>3. Pembayaran</x:v>
      </x:c>
      <x:c r="C37" s="17" t="str">
        <x:v>3. Pembayaran</x:v>
      </x:c>
      <x:c r="D37" s="17" t="str">
        <x:v>3. Pembayaran</x:v>
      </x:c>
      <x:c r="E37" s="17" t="str">
        <x:v>3. Pembayaran</x:v>
      </x:c>
      <x:c r="F37" s="17" t="str">
        <x:v>3. Pembayaran</x:v>
      </x:c>
      <x:c r="G37" s="17" t="str">
        <x:v>3. Pembayaran</x:v>
      </x:c>
      <x:c r="H37" s="17" t="str">
        <x:v>3. Pembayaran</x:v>
      </x:c>
    </x:row>
    <x:row r="38" ht="32" customHeight="1">
      <x:c r="A38" s="15" t="str">
        <x:v>Tujuan tab</x:v>
      </x:c>
      <x:c r="B38" s="14" t="str">
        <x:v>Alokasi pembayaran untuk kewajiban pajak.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Jenis; masa; rekening;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Pembayaran</x:v>
      </x:c>
      <x:c r="B40" s="10" t="str">
        <x:v>Kewajiban</x:v>
      </x:c>
      <x:c r="C40" s="10" t="str">
        <x:v>Jenis</x:v>
      </x:c>
      <x:c r="D40" s="10" t="str">
        <x:v>Masa</x:v>
      </x:c>
      <x:c r="E40" s="10" t="str">
        <x:v>Nilai Rp</x:v>
      </x:c>
      <x:c r="F40" s="10" t="str">
        <x:v>Tanggal bayar</x:v>
      </x:c>
      <x:c r="G40" s="10" t="str">
        <x:v>Bukti bayar</x:v>
      </x:c>
      <x:c r="H40" s="10" t="str">
        <x:v>Status</x:v>
      </x:c>
    </x:row>
    <x:row r="41" ht="48" customHeight="1">
      <x:c r="A41" s="8" t="str">
        <x:v>PAY-TAX-001</x:v>
      </x:c>
      <x:c r="B41" s="8" t="str">
        <x:v>TAX-001</x:v>
      </x:c>
      <x:c r="C41" s="8" t="str">
        <x:v>Pajak potongan</x:v>
      </x:c>
      <x:c r="D41" s="8" t="str">
        <x:v>2026-09</x:v>
      </x:c>
      <x:c r="E41" s="18" t="n">
        <x:v>500000</x:v>
      </x:c>
      <x:c r="F41" s="8"/>
      <x:c r="G41" s="8"/>
      <x:c r="H41" s="8" t="str">
        <x:v>Disiapkan</x:v>
      </x:c>
    </x:row>
    <x:row r="43" ht="32" customHeight="1">
      <x:c r="A43" s="15" t="str">
        <x:v>Tombol / tindakan</x:v>
      </x:c>
      <x:c r="B43" s="14" t="str">
        <x:v>Bayar kewajiban; tautkan bukti; buka Kas &amp; Bank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Disiapkan; diproses; dibayar; gagal;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Payment yang sama di Kas &amp; Bank, kode billing/referensi bila relevan, bukti dan alokasi.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Kewajiban → pembayaran bersama → bukti bayar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Pelaporan</x:v>
      </x:c>
      <x:c r="B50" s="17" t="str">
        <x:v>4. Pelaporan</x:v>
      </x:c>
      <x:c r="C50" s="17" t="str">
        <x:v>4. Pelaporan</x:v>
      </x:c>
      <x:c r="D50" s="17" t="str">
        <x:v>4. Pelaporan</x:v>
      </x:c>
      <x:c r="E50" s="17" t="str">
        <x:v>4. Pelaporan</x:v>
      </x:c>
      <x:c r="F50" s="17" t="str">
        <x:v>4. Pelaporan</x:v>
      </x:c>
      <x:c r="G50" s="17" t="str">
        <x:v>4. Pelaporan</x:v>
      </x:c>
      <x:c r="H50" s="17" t="str">
        <x:v>4. Pelaporan</x:v>
      </x:c>
    </x:row>
    <x:row r="51" ht="32" customHeight="1">
      <x:c r="A51" s="15" t="str">
        <x:v>Tujuan tab</x:v>
      </x:c>
      <x:c r="B51" s="14" t="str">
        <x:v>Penyampaian laporan pajak terpisah dari pelunasan.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Jenis; masa; unit; status lapor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Pelaporan</x:v>
      </x:c>
      <x:c r="B53" s="10" t="str">
        <x:v>Jenis</x:v>
      </x:c>
      <x:c r="C53" s="10" t="str">
        <x:v>Masa</x:v>
      </x:c>
      <x:c r="D53" s="10" t="str">
        <x:v>Unit</x:v>
      </x:c>
      <x:c r="E53" s="10" t="str">
        <x:v>Tanggal lapor</x:v>
      </x:c>
      <x:c r="F53" s="10" t="str">
        <x:v>Referensi tanda terima</x:v>
      </x:c>
      <x:c r="G53" s="10" t="str">
        <x:v>Status lapor</x:v>
      </x:c>
      <x:c r="H53" s="10" t="str">
        <x:v>Aksi</x:v>
      </x:c>
    </x:row>
    <x:row r="54" ht="48" customHeight="1">
      <x:c r="A54" s="8" t="str">
        <x:v>TF-001</x:v>
      </x:c>
      <x:c r="B54" s="8" t="str">
        <x:v>Pajak potongan</x:v>
      </x:c>
      <x:c r="C54" s="8" t="str">
        <x:v>2026-09</x:v>
      </x:c>
      <x:c r="D54" s="8" t="str">
        <x:v>HO</x:v>
      </x:c>
      <x:c r="E54" s="8"/>
      <x:c r="F54" s="8"/>
      <x:c r="G54" s="8" t="str">
        <x:v>Disiapkan</x:v>
      </x:c>
      <x:c r="H54" s="8" t="str">
        <x:v>Buka pelaporan</x:v>
      </x:c>
    </x:row>
    <x:row r="56" ht="32" customHeight="1">
      <x:c r="A56" s="15" t="str">
        <x:v>Tombol / tindakan</x:v>
      </x:c>
      <x:c r="B56" s="14" t="str">
        <x:v>Siapkan; review; catat pelaporan; tautkan tanda terima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Disiapkan; direview; dilaporkan; pembetulan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Dokumen pendukung, pembayaran terkait, tanda terima, versi pembetulan. Dilaporkan tidak berarti sudah dibayar.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Dokumen/kewajiban → review laporan → penyampaian → tanda terima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e7fe67ad8ea34a7d"/>
    <x:tablePart xmlns:r="http://schemas.openxmlformats.org/officeDocument/2006/relationships" r:id="Rd088819f4e9e478a"/>
    <x:tablePart xmlns:r="http://schemas.openxmlformats.org/officeDocument/2006/relationships" r:id="R8440c32943524736"/>
    <x:tablePart xmlns:r="http://schemas.openxmlformats.org/officeDocument/2006/relationships" r:id="Rc5ba7adbf70a47d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Pendanaan &amp; Modal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pinjaman eksternal dan transaksi pemilik, dengan register yang terpisah.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Treasury untuk pinjaman; akuntan untuk modal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Kelompok sumber pendanaan, bukan seluruh kewajiban. Utang vendor, payroll, pajak dan antarunit tetap di menu pemilik.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Pokok pinjaman; angsuran jatuh tempo; setoran modal; distribusi disetujui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Pembayaran pinjaman jangan terbatas pada satu bank; laba periode harus dapat ditelusuri ke laporan dan penutupan.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Pinjaman — tab awal</x:v>
      </x:c>
      <x:c r="B11" s="17" t="str">
        <x:v>1. Pinjaman — tab awal</x:v>
      </x:c>
      <x:c r="C11" s="17" t="str">
        <x:v>1. Pinjaman — tab awal</x:v>
      </x:c>
      <x:c r="D11" s="17" t="str">
        <x:v>1. Pinjaman — tab awal</x:v>
      </x:c>
      <x:c r="E11" s="17" t="str">
        <x:v>1. Pinjaman — tab awal</x:v>
      </x:c>
      <x:c r="F11" s="17" t="str">
        <x:v>1. Pinjaman — tab awal</x:v>
      </x:c>
      <x:c r="G11" s="17" t="str">
        <x:v>1. Pinjaman — tab awal</x:v>
      </x:c>
      <x:c r="H11" s="17" t="str">
        <x:v>1. Pinjaman — tab awal</x:v>
      </x:c>
    </x:row>
    <x:row r="12" ht="32" customHeight="1">
      <x:c r="A12" s="15" t="str">
        <x:v>Tujuan tab</x:v>
      </x:c>
      <x:c r="B12" s="14" t="str">
        <x:v>Kontrak pendanaan eksternal beserta saldo pokok.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Pemberi dana; unit; jenis;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Pinjaman</x:v>
      </x:c>
      <x:c r="B14" s="10" t="str">
        <x:v>Pemberi dana</x:v>
      </x:c>
      <x:c r="C14" s="10" t="str">
        <x:v>Unit</x:v>
      </x:c>
      <x:c r="D14" s="10" t="str">
        <x:v>Jenis</x:v>
      </x:c>
      <x:c r="E14" s="10" t="str">
        <x:v>Pokok awal Rp</x:v>
      </x:c>
      <x:c r="F14" s="10" t="str">
        <x:v>Pokok tersisa Rp</x:v>
      </x:c>
      <x:c r="G14" s="10" t="str">
        <x:v>Jatuh tempo</x:v>
      </x:c>
      <x:c r="H14" s="10" t="str">
        <x:v>Status</x:v>
      </x:c>
    </x:row>
    <x:row r="15" ht="48" customHeight="1">
      <x:c r="A15" s="8" t="str">
        <x:v>LOAN-001</x:v>
      </x:c>
      <x:c r="B15" s="8" t="str">
        <x:v>Bank A</x:v>
      </x:c>
      <x:c r="C15" s="8" t="str">
        <x:v>HO</x:v>
      </x:c>
      <x:c r="D15" s="8" t="str">
        <x:v>Pinjaman bank</x:v>
      </x:c>
      <x:c r="E15" s="18" t="n">
        <x:v>100000000</x:v>
      </x:c>
      <x:c r="F15" s="18" t="n">
        <x:v>100000000</x:v>
      </x:c>
      <x:c r="G15" s="19" t="n">
        <x:v>46640</x:v>
      </x:c>
      <x:c r="H15" s="8" t="str">
        <x:v>Aktif</x:v>
      </x:c>
    </x:row>
    <x:row r="17" ht="32" customHeight="1">
      <x:c r="A17" s="15" t="str">
        <x:v>Tombol / tindakan</x:v>
      </x:c>
      <x:c r="B17" s="14" t="str">
        <x:v>Buat kontrak; tautkan pencairan; lihat jadwal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Draf; aktif; selesai; direstrukturisasi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Kontrak, rekening, jaminan bila ada, pencairan, pokok, bunga/biaya dan riwayat perubahan.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Kontrak → pencairan Kas &amp; Bank → jadwal → pelunasan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Angsuran &amp; biaya</x:v>
      </x:c>
      <x:c r="B24" s="17" t="str">
        <x:v>2. Angsuran &amp; biaya</x:v>
      </x:c>
      <x:c r="C24" s="17" t="str">
        <x:v>2. Angsuran &amp; biaya</x:v>
      </x:c>
      <x:c r="D24" s="17" t="str">
        <x:v>2. Angsuran &amp; biaya</x:v>
      </x:c>
      <x:c r="E24" s="17" t="str">
        <x:v>2. Angsuran &amp; biaya</x:v>
      </x:c>
      <x:c r="F24" s="17" t="str">
        <x:v>2. Angsuran &amp; biaya</x:v>
      </x:c>
      <x:c r="G24" s="17" t="str">
        <x:v>2. Angsuran &amp; biaya</x:v>
      </x:c>
      <x:c r="H24" s="17" t="str">
        <x:v>2. Angsuran &amp; biaya</x:v>
      </x:c>
    </x:row>
    <x:row r="25" ht="32" customHeight="1">
      <x:c r="A25" s="15" t="str">
        <x:v>Tujuan tab</x:v>
      </x:c>
      <x:c r="B25" s="14" t="str">
        <x:v>Pokok, bunga dan biaya per jatuh tempo.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Pinjaman; pemberi dana; periode;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Angsuran</x:v>
      </x:c>
      <x:c r="B27" s="10" t="str">
        <x:v>Pinjaman</x:v>
      </x:c>
      <x:c r="C27" s="10" t="str">
        <x:v>Jatuh tempo</x:v>
      </x:c>
      <x:c r="D27" s="10" t="str">
        <x:v>Pokok Rp</x:v>
      </x:c>
      <x:c r="E27" s="10" t="str">
        <x:v>Bunga Rp</x:v>
      </x:c>
      <x:c r="F27" s="10" t="str">
        <x:v>Biaya Rp</x:v>
      </x:c>
      <x:c r="G27" s="10" t="str">
        <x:v>Total Rp</x:v>
      </x:c>
      <x:c r="H27" s="10" t="str">
        <x:v>Status</x:v>
      </x:c>
    </x:row>
    <x:row r="28" ht="48" customHeight="1">
      <x:c r="A28" s="8" t="str">
        <x:v>INST-001</x:v>
      </x:c>
      <x:c r="B28" s="8" t="str">
        <x:v>LOAN-001</x:v>
      </x:c>
      <x:c r="C28" s="19" t="n">
        <x:v>46290</x:v>
      </x:c>
      <x:c r="D28" s="18" t="n">
        <x:v>10000000</x:v>
      </x:c>
      <x:c r="E28" s="18" t="n">
        <x:v>500000</x:v>
      </x:c>
      <x:c r="F28" s="18" t="n">
        <x:v>0</x:v>
      </x:c>
      <x:c r="G28" s="18" t="n">
        <x:f>D28+E28+F28</x:f>
        <x:v>10500000</x:v>
      </x:c>
      <x:c r="H28" s="8" t="str">
        <x:v>Belum dibayar</x:v>
      </x:c>
    </x:row>
    <x:row r="30" ht="32" customHeight="1">
      <x:c r="A30" s="15" t="str">
        <x:v>Tombol / tindakan</x:v>
      </x:c>
      <x:c r="B30" s="14" t="str">
        <x:v>Tinjau jadwal; siapkan pembayaran; alokasikan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Belum dibayar; sebagian; lunas; ditunda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Rincian pokok/bunga/biaya, dasar kontrak, pembayaran, akrual terkait dan jurnal. Angka contoh bukan rekomendasi syarat pinjaman.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Jadwal → pembayaran → alokasi pokok/bunga/biaya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Modal &amp; distribusi</x:v>
      </x:c>
      <x:c r="B37" s="17" t="str">
        <x:v>3. Modal &amp; distribusi</x:v>
      </x:c>
      <x:c r="C37" s="17" t="str">
        <x:v>3. Modal &amp; distribusi</x:v>
      </x:c>
      <x:c r="D37" s="17" t="str">
        <x:v>3. Modal &amp; distribusi</x:v>
      </x:c>
      <x:c r="E37" s="17" t="str">
        <x:v>3. Modal &amp; distribusi</x:v>
      </x:c>
      <x:c r="F37" s="17" t="str">
        <x:v>3. Modal &amp; distribusi</x:v>
      </x:c>
      <x:c r="G37" s="17" t="str">
        <x:v>3. Modal &amp; distribusi</x:v>
      </x:c>
      <x:c r="H37" s="17" t="str">
        <x:v>3. Modal &amp; distribusi</x:v>
      </x:c>
    </x:row>
    <x:row r="38" ht="32" customHeight="1">
      <x:c r="A38" s="15" t="str">
        <x:v>Tujuan tab</x:v>
      </x:c>
      <x:c r="B38" s="14" t="str">
        <x:v>Transaksi pemilik yang memengaruhi modal.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Pemilik; jenis; unit; periode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Transaksi</x:v>
      </x:c>
      <x:c r="B40" s="10" t="str">
        <x:v>Pemilik</x:v>
      </x:c>
      <x:c r="C40" s="10" t="str">
        <x:v>Unit</x:v>
      </x:c>
      <x:c r="D40" s="10" t="str">
        <x:v>Jenis</x:v>
      </x:c>
      <x:c r="E40" s="10" t="str">
        <x:v>Tanggal</x:v>
      </x:c>
      <x:c r="F40" s="10" t="str">
        <x:v>Nilai Rp</x:v>
      </x:c>
      <x:c r="G40" s="10" t="str">
        <x:v>Referensi kas</x:v>
      </x:c>
      <x:c r="H40" s="10" t="str">
        <x:v>Status</x:v>
      </x:c>
    </x:row>
    <x:row r="41" ht="48" customHeight="1">
      <x:c r="A41" s="8" t="str">
        <x:v>EQ-001</x:v>
      </x:c>
      <x:c r="B41" s="8" t="str">
        <x:v>Pemilik A</x:v>
      </x:c>
      <x:c r="C41" s="8" t="str">
        <x:v>HO</x:v>
      </x:c>
      <x:c r="D41" s="8" t="str">
        <x:v>Setoran modal</x:v>
      </x:c>
      <x:c r="E41" s="19" t="n">
        <x:v>46270</x:v>
      </x:c>
      <x:c r="F41" s="18" t="n">
        <x:v>50000000</x:v>
      </x:c>
      <x:c r="G41" s="8" t="str">
        <x:v>RCPT-EQ-001</x:v>
      </x:c>
      <x:c r="H41" s="8" t="str">
        <x:v>Tercatat</x:v>
      </x:c>
    </x:row>
    <x:row r="43" ht="32" customHeight="1">
      <x:c r="A43" s="15" t="str">
        <x:v>Tombol / tindakan</x:v>
      </x:c>
      <x:c r="B43" s="14" t="str">
        <x:v>Catat keputusan; tautkan penerimaan/pembayaran; lihat jurnal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Draf; disetujui; menunggu kas; tercatat;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Dasar keputusan, pemilik, jenis perubahan modal, kas terkait dan jurnal. Distribusi harus punya dasar keputusan.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Keputusan pemilik → kas jika ada → perubahan modal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Perubahan ekuitas</x:v>
      </x:c>
      <x:c r="B50" s="17" t="str">
        <x:v>4. Perubahan ekuitas</x:v>
      </x:c>
      <x:c r="C50" s="17" t="str">
        <x:v>4. Perubahan ekuitas</x:v>
      </x:c>
      <x:c r="D50" s="17" t="str">
        <x:v>4. Perubahan ekuitas</x:v>
      </x:c>
      <x:c r="E50" s="17" t="str">
        <x:v>4. Perubahan ekuitas</x:v>
      </x:c>
      <x:c r="F50" s="17" t="str">
        <x:v>4. Perubahan ekuitas</x:v>
      </x:c>
      <x:c r="G50" s="17" t="str">
        <x:v>4. Perubahan ekuitas</x:v>
      </x:c>
      <x:c r="H50" s="17" t="str">
        <x:v>4. Perubahan ekuitas</x:v>
      </x:c>
    </x:row>
    <x:row r="51" ht="32" customHeight="1">
      <x:c r="A51" s="15" t="str">
        <x:v>Tujuan tab</x:v>
      </x:c>
      <x:c r="B51" s="14" t="str">
        <x:v>Jembatan saldo awal, transaksi pemilik dan hasil periode.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Unit; periode; komponen ekuitas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Unit</x:v>
      </x:c>
      <x:c r="B53" s="10" t="str">
        <x:v>Periode</x:v>
      </x:c>
      <x:c r="C53" s="10" t="str">
        <x:v>Saldo awal Rp</x:v>
      </x:c>
      <x:c r="D53" s="10" t="str">
        <x:v>Setoran Rp</x:v>
      </x:c>
      <x:c r="E53" s="10" t="str">
        <x:v>Distribusi Rp</x:v>
      </x:c>
      <x:c r="F53" s="10" t="str">
        <x:v>Hasil periode Rp</x:v>
      </x:c>
      <x:c r="G53" s="10" t="str">
        <x:v>Saldo akhir Rp</x:v>
      </x:c>
      <x:c r="H53" s="10" t="str">
        <x:v>Aksi</x:v>
      </x:c>
    </x:row>
    <x:row r="54" ht="48" customHeight="1">
      <x:c r="A54" s="8" t="str">
        <x:v>HO</x:v>
      </x:c>
      <x:c r="B54" s="8" t="str">
        <x:v>2026-09</x:v>
      </x:c>
      <x:c r="C54" s="18" t="n">
        <x:v>100000000</x:v>
      </x:c>
      <x:c r="D54" s="18" t="n">
        <x:v>50000000</x:v>
      </x:c>
      <x:c r="E54" s="18" t="n">
        <x:v>0</x:v>
      </x:c>
      <x:c r="F54" s="18" t="n">
        <x:v>20000000</x:v>
      </x:c>
      <x:c r="G54" s="18" t="n">
        <x:f>C54+D54-E54+F54</x:f>
        <x:v>170000000</x:v>
      </x:c>
      <x:c r="H54" s="8" t="str">
        <x:v>Telusuri sumber</x:v>
      </x:c>
    </x:row>
    <x:row r="56" ht="32" customHeight="1">
      <x:c r="A56" s="15" t="str">
        <x:v>Tombol / tindakan</x:v>
      </x:c>
      <x:c r="B56" s="14" t="str">
        <x:v>Buka sumber; buka hasil periode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Periode terbuka; direview; ditutup</x:v>
      </x:c>
      <x:c r="C57" s="14"/>
      <x:c r="D57" s="14"/>
      <x:c r="E57" s="14"/>
      <x:c r="F57" s="14"/>
      <x:c r="G57" s="14"/>
      <x:c r="H57" s="14"/>
    </x:row>
    <x:row r="58" ht="40" customHeight="1">
      <x:c r="A58" s="15" t="str">
        <x:v>Saat baris dibuka</x:v>
      </x:c>
      <x:c r="B58" s="14" t="str">
        <x:v>Setoran/distribusi berasal dari register modal, hasil periode berasal dari buku besar dan kebijakan penutupan. Tampilan baca, bukan input laba manual.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Modal + hasil laporan → perubahan ekuitas → rekonsiliasi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24c59308299d4deb"/>
    <x:tablePart xmlns:r="http://schemas.openxmlformats.org/officeDocument/2006/relationships" r:id="R5cfb5e16ea4b47f0"/>
    <x:tablePart xmlns:r="http://schemas.openxmlformats.org/officeDocument/2006/relationships" r:id="R8a047c046a304be5"/>
    <x:tablePart xmlns:r="http://schemas.openxmlformats.org/officeDocument/2006/relationships" r:id="R6701241f335f498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Akuntansi &amp; Tutup Buku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jurnal, pengakuan periodik, rekonsiliasi dan penutupan periode.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Akuntan dan controller</x:v>
      </x:c>
      <x:c r="C6" s="14"/>
      <x:c r="D6" s="14"/>
      <x:c r="E6" s="14"/>
      <x:c r="F6" s="14"/>
      <x:c r="G6" s="14"/>
      <x:c r="H6" s="14"/>
    </x:row>
    <x:row r="7" ht="40" customHeight="1">
      <x:c r="A7" s="15" t="str">
        <x:v>Batas tanggung jawab</x:v>
      </x:c>
      <x:c r="B7" s="14" t="str">
        <x:v>Jurnal otomatis ditelusuri/koreksi melalui dokumen sumber. Jurnal manual untuk kejadian yang memang memerlukan akuntansi langsung.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Jurnal perlu review; jadwal belum diposting; rekonsiliasi terbuka; kesiapan tutup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Validasi akun aktif/detail/unit harus seragam; penutupan perlu bukti hasil periode dan kontrol transaksi tertunda.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Jurnal — tab awal</x:v>
      </x:c>
      <x:c r="B11" s="17" t="str">
        <x:v>1. Jurnal — tab awal</x:v>
      </x:c>
      <x:c r="C11" s="17" t="str">
        <x:v>1. Jurnal — tab awal</x:v>
      </x:c>
      <x:c r="D11" s="17" t="str">
        <x:v>1. Jurnal — tab awal</x:v>
      </x:c>
      <x:c r="E11" s="17" t="str">
        <x:v>1. Jurnal — tab awal</x:v>
      </x:c>
      <x:c r="F11" s="17" t="str">
        <x:v>1. Jurnal — tab awal</x:v>
      </x:c>
      <x:c r="G11" s="17" t="str">
        <x:v>1. Jurnal — tab awal</x:v>
      </x:c>
      <x:c r="H11" s="17" t="str">
        <x:v>1. Jurnal — tab awal</x:v>
      </x:c>
    </x:row>
    <x:row r="12" ht="32" customHeight="1">
      <x:c r="A12" s="15" t="str">
        <x:v>Tujuan tab</x:v>
      </x:c>
      <x:c r="B12" s="14" t="str">
        <x:v>Jurnal otomatis dan manual dengan identitas sumber.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Periode; unit; sumber; otomatis/manual;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Jurnal</x:v>
      </x:c>
      <x:c r="B14" s="10" t="str">
        <x:v>Tanggal</x:v>
      </x:c>
      <x:c r="C14" s="10" t="str">
        <x:v>Unit</x:v>
      </x:c>
      <x:c r="D14" s="10" t="str">
        <x:v>Sumber</x:v>
      </x:c>
      <x:c r="E14" s="10" t="str">
        <x:v>Debit Rp</x:v>
      </x:c>
      <x:c r="F14" s="10" t="str">
        <x:v>Kredit Rp</x:v>
      </x:c>
      <x:c r="G14" s="10" t="str">
        <x:v>Status</x:v>
      </x:c>
      <x:c r="H14" s="10" t="str">
        <x:v>Aksi</x:v>
      </x:c>
    </x:row>
    <x:row r="15" ht="48" customHeight="1">
      <x:c r="A15" s="8" t="str">
        <x:v>JRN-001</x:v>
      </x:c>
      <x:c r="B15" s="19" t="n">
        <x:v>46276</x:v>
      </x:c>
      <x:c r="C15" s="8" t="str">
        <x:v>HO</x:v>
      </x:c>
      <x:c r="D15" s="8" t="str">
        <x:v>PAY-001</x:v>
      </x:c>
      <x:c r="E15" s="18" t="n">
        <x:v>5000000</x:v>
      </x:c>
      <x:c r="F15" s="18" t="n">
        <x:v>5000000</x:v>
      </x:c>
      <x:c r="G15" s="8" t="str">
        <x:v>Diposting</x:v>
      </x:c>
      <x:c r="H15" s="8" t="str">
        <x:v>Buka sumber</x:v>
      </x:c>
    </x:row>
    <x:row r="17" ht="32" customHeight="1">
      <x:c r="A17" s="15" t="str">
        <x:v>Tombol / tindakan</x:v>
      </x:c>
      <x:c r="B17" s="14" t="str">
        <x:v>Buat jurnal manual; review; posting; balik sesuai otorisasi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Draf; direview; diposting; dibalik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Baris akun/unit/debit/kredit, alasan, lampiran, sumber, pembalikan dan riwayat. Akun nonaktif/induk/unit tidak sah ditolak.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Dokumen atau jurnal manual → validasi → posting → GL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Pengakuan periodik</x:v>
      </x:c>
      <x:c r="B24" s="17" t="str">
        <x:v>2. Pengakuan periodik</x:v>
      </x:c>
      <x:c r="C24" s="17" t="str">
        <x:v>2. Pengakuan periodik</x:v>
      </x:c>
      <x:c r="D24" s="17" t="str">
        <x:v>2. Pengakuan periodik</x:v>
      </x:c>
      <x:c r="E24" s="17" t="str">
        <x:v>2. Pengakuan periodik</x:v>
      </x:c>
      <x:c r="F24" s="17" t="str">
        <x:v>2. Pengakuan periodik</x:v>
      </x:c>
      <x:c r="G24" s="17" t="str">
        <x:v>2. Pengakuan periodik</x:v>
      </x:c>
      <x:c r="H24" s="17" t="str">
        <x:v>2. Pengakuan periodik</x:v>
      </x:c>
    </x:row>
    <x:row r="25" ht="32" customHeight="1">
      <x:c r="A25" s="15" t="str">
        <x:v>Tujuan tab</x:v>
      </x:c>
      <x:c r="B25" s="14" t="str">
        <x:v>Kontrol akrual, amortisasi, penyusutan dan pembalikan terjadwal.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unit; periode;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Jadwal</x:v>
      </x:c>
      <x:c r="B27" s="10" t="str">
        <x:v>Jenis</x:v>
      </x:c>
      <x:c r="C27" s="10" t="str">
        <x:v>Unit</x:v>
      </x:c>
      <x:c r="D27" s="10" t="str">
        <x:v>Periode</x:v>
      </x:c>
      <x:c r="E27" s="10" t="str">
        <x:v>Nilai Rp</x:v>
      </x:c>
      <x:c r="F27" s="10" t="str">
        <x:v>Sumber</x:v>
      </x:c>
      <x:c r="G27" s="10" t="str">
        <x:v>Status</x:v>
      </x:c>
      <x:c r="H27" s="10" t="str">
        <x:v>Aksi</x:v>
      </x:c>
    </x:row>
    <x:row r="28" ht="48" customHeight="1">
      <x:c r="A28" s="8" t="str">
        <x:v>PER-001</x:v>
      </x:c>
      <x:c r="B28" s="8" t="str">
        <x:v>Amortisasi sewa</x:v>
      </x:c>
      <x:c r="C28" s="8" t="str">
        <x:v>C006</x:v>
      </x:c>
      <x:c r="D28" s="8" t="str">
        <x:v>2026-09</x:v>
      </x:c>
      <x:c r="E28" s="18" t="n">
        <x:v>1000000</x:v>
      </x:c>
      <x:c r="F28" s="8" t="str">
        <x:v>PRE-001</x:v>
      </x:c>
      <x:c r="G28" s="8" t="str">
        <x:v>Siap review</x:v>
      </x:c>
      <x:c r="H28" s="8" t="str">
        <x:v>Tinjau</x:v>
      </x:c>
    </x:row>
    <x:row r="30" ht="32" customHeight="1">
      <x:c r="A30" s="15" t="str">
        <x:v>Tombol / tindakan</x:v>
      </x:c>
      <x:c r="B30" s="14" t="str">
        <x:v>Tinjau usulan; posting; buka jadwal sumber; balik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Belum siap; siap review; disetujui; diposting; dibalik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Dasar perhitungan, sumber, periode, akun, jurnal sebelumnya dan pencegahan posting ganda.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Jadwal domain/akrual → review akuntansi → jurnal periode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Rekonsiliasi akun</x:v>
      </x:c>
      <x:c r="B37" s="17" t="str">
        <x:v>3. Rekonsiliasi akun</x:v>
      </x:c>
      <x:c r="C37" s="17" t="str">
        <x:v>3. Rekonsiliasi akun</x:v>
      </x:c>
      <x:c r="D37" s="17" t="str">
        <x:v>3. Rekonsiliasi akun</x:v>
      </x:c>
      <x:c r="E37" s="17" t="str">
        <x:v>3. Rekonsiliasi akun</x:v>
      </x:c>
      <x:c r="F37" s="17" t="str">
        <x:v>3. Rekonsiliasi akun</x:v>
      </x:c>
      <x:c r="G37" s="17" t="str">
        <x:v>3. Rekonsiliasi akun</x:v>
      </x:c>
      <x:c r="H37" s="17" t="str">
        <x:v>3. Rekonsiliasi akun</x:v>
      </x:c>
    </x:row>
    <x:row r="38" ht="32" customHeight="1">
      <x:c r="A38" s="15" t="str">
        <x:v>Tujuan tab</x:v>
      </x:c>
      <x:c r="B38" s="14" t="str">
        <x:v>Bukti saldo buku besar sama dengan rincian pendukung.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Periode; unit; kelompok; status; reviewer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Rekonsiliasi</x:v>
      </x:c>
      <x:c r="B40" s="10" t="str">
        <x:v>Kelompok</x:v>
      </x:c>
      <x:c r="C40" s="10" t="str">
        <x:v>Unit</x:v>
      </x:c>
      <x:c r="D40" s="10" t="str">
        <x:v>Periode</x:v>
      </x:c>
      <x:c r="E40" s="10" t="str">
        <x:v>GL Rp</x:v>
      </x:c>
      <x:c r="F40" s="10" t="str">
        <x:v>Rincian Rp</x:v>
      </x:c>
      <x:c r="G40" s="10" t="str">
        <x:v>Selisih Rp</x:v>
      </x:c>
      <x:c r="H40" s="10" t="str">
        <x:v>Status</x:v>
      </x:c>
    </x:row>
    <x:row r="41" ht="48" customHeight="1">
      <x:c r="A41" s="8" t="str">
        <x:v>REC-001</x:v>
      </x:c>
      <x:c r="B41" s="8" t="str">
        <x:v>Piutang pegawai</x:v>
      </x:c>
      <x:c r="C41" s="8" t="str">
        <x:v>C006</x:v>
      </x:c>
      <x:c r="D41" s="8" t="str">
        <x:v>2026-09</x:v>
      </x:c>
      <x:c r="E41" s="18" t="n">
        <x:v>1500000</x:v>
      </x:c>
      <x:c r="F41" s="18" t="n">
        <x:v>1500000</x:v>
      </x:c>
      <x:c r="G41" s="18" t="n">
        <x:f>E41-F41</x:f>
        <x:v>0</x:v>
      </x:c>
      <x:c r="H41" s="8" t="str">
        <x:v>Cocok</x:v>
      </x:c>
    </x:row>
    <x:row r="43" ht="32" customHeight="1">
      <x:c r="A43" s="15" t="str">
        <x:v>Tombol / tindakan</x:v>
      </x:c>
      <x:c r="B43" s="14" t="str">
        <x:v>Bandingkan; lampirkan bukti; tugaskan; tandai selesai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Belum disiapkan; disiapkan; selisih; cocok; direview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Rincian register, GL, selisih, bukti dan reviewer. Koreksi dibuat pada sumber yang salah.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Register ↔ GL → koreksi sumber → review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Tutup periode</x:v>
      </x:c>
      <x:c r="B50" s="17" t="str">
        <x:v>4. Tutup periode</x:v>
      </x:c>
      <x:c r="C50" s="17" t="str">
        <x:v>4. Tutup periode</x:v>
      </x:c>
      <x:c r="D50" s="17" t="str">
        <x:v>4. Tutup periode</x:v>
      </x:c>
      <x:c r="E50" s="17" t="str">
        <x:v>4. Tutup periode</x:v>
      </x:c>
      <x:c r="F50" s="17" t="str">
        <x:v>4. Tutup periode</x:v>
      </x:c>
      <x:c r="G50" s="17" t="str">
        <x:v>4. Tutup periode</x:v>
      </x:c>
      <x:c r="H50" s="17" t="str">
        <x:v>4. Tutup periode</x:v>
      </x:c>
    </x:row>
    <x:row r="51" ht="32" customHeight="1">
      <x:c r="A51" s="15" t="str">
        <x:v>Tujuan tab</x:v>
      </x:c>
      <x:c r="B51" s="14" t="str">
        <x:v>Checklist dan keputusan penutupan yang dapat ditelusuri.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Periode; unit; langkah;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Periode</x:v>
      </x:c>
      <x:c r="B53" s="10" t="str">
        <x:v>Unit</x:v>
      </x:c>
      <x:c r="C53" s="10" t="str">
        <x:v>Langkah</x:v>
      </x:c>
      <x:c r="D53" s="10" t="str">
        <x:v>Pemilik</x:v>
      </x:c>
      <x:c r="E53" s="10" t="str">
        <x:v>Tenggat</x:v>
      </x:c>
      <x:c r="F53" s="10" t="str">
        <x:v>Status</x:v>
      </x:c>
      <x:c r="G53" s="10" t="str">
        <x:v>Bukti</x:v>
      </x:c>
      <x:c r="H53" s="10" t="str">
        <x:v>Aksi</x:v>
      </x:c>
    </x:row>
    <x:row r="54" ht="48" customHeight="1">
      <x:c r="A54" s="8" t="str">
        <x:v>2026-09</x:v>
      </x:c>
      <x:c r="B54" s="8" t="str">
        <x:v>HO</x:v>
      </x:c>
      <x:c r="C54" s="8" t="str">
        <x:v>Rekonsiliasi bank</x:v>
      </x:c>
      <x:c r="D54" s="8" t="str">
        <x:v>Treasury</x:v>
      </x:c>
      <x:c r="E54" s="19" t="n">
        <x:v>46295</x:v>
      </x:c>
      <x:c r="F54" s="8" t="str">
        <x:v>Belum selesai</x:v>
      </x:c>
      <x:c r="G54" s="8" t="str">
        <x:v>REC-BANK-001</x:v>
      </x:c>
      <x:c r="H54" s="8" t="str">
        <x:v>Buka bukti</x:v>
      </x:c>
    </x:row>
    <x:row r="56" ht="32" customHeight="1">
      <x:c r="A56" s="15" t="str">
        <x:v>Tombol / tindakan</x:v>
      </x:c>
      <x:c r="B56" s="14" t="str">
        <x:v>Buka checklist; review; tutup periode; buka kembali dengan alasan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Terbuka; dalam review; ditutup; dibuka kembali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Checklist, transaksi tertunda, rekonsiliasi, laba/rugi, perubahan ekuitas, siapa menutup/membuka dan alasan.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Selesaikan domain → rekonsiliasi → review hasil → kunci periode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</x:mergeCells>
  <x:pageMargins left="0.7" right="0.7" top="0.75" bottom="0.75" header="0.3" footer="0.3"/>
  <x:tableParts count="4">
    <x:tablePart xmlns:r="http://schemas.openxmlformats.org/officeDocument/2006/relationships" r:id="R4196227b03614b54"/>
    <x:tablePart xmlns:r="http://schemas.openxmlformats.org/officeDocument/2006/relationships" r:id="R65df028ce16041b6"/>
    <x:tablePart xmlns:r="http://schemas.openxmlformats.org/officeDocument/2006/relationships" r:id="R52245532aa8d4a39"/>
    <x:tablePart xmlns:r="http://schemas.openxmlformats.org/officeDocument/2006/relationships" r:id="R2684bea4bcc14fb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Laporan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Menyajikan hasil dari buku besar dan register yang dapat ditelusuri ke sumber.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Manajemen dan finance sesuai akses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Baca, filter, telusuri dan ekspor. Koreksi diarahkan ke menu sumber; laporan tidak membuat transaksi.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Pendapatan; hasil periode; posisi keuangan; arus kas sesuai definisi laporan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Konsolidasi harus mencakup unit terpilih dan eliminasi yang sah; klasifikasi kode khusus tidak boleh hanya dari digit pertama.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Laporan keuangan — tab awal</x:v>
      </x:c>
      <x:c r="B11" s="17" t="str">
        <x:v>1. Laporan keuangan — tab awal</x:v>
      </x:c>
      <x:c r="C11" s="17" t="str">
        <x:v>1. Laporan keuangan — tab awal</x:v>
      </x:c>
      <x:c r="D11" s="17" t="str">
        <x:v>1. Laporan keuangan — tab awal</x:v>
      </x:c>
      <x:c r="E11" s="17" t="str">
        <x:v>1. Laporan keuangan — tab awal</x:v>
      </x:c>
      <x:c r="F11" s="17" t="str">
        <x:v>1. Laporan keuangan — tab awal</x:v>
      </x:c>
      <x:c r="G11" s="17" t="str">
        <x:v>1. Laporan keuangan — tab awal</x:v>
      </x:c>
      <x:c r="H11" s="17" t="str">
        <x:v>1. Laporan keuangan — tab awal</x:v>
      </x:c>
    </x:row>
    <x:row r="12" ht="32" customHeight="1">
      <x:c r="A12" s="15" t="str">
        <x:v>Tujuan tab</x:v>
      </x:c>
      <x:c r="B12" s="14" t="str">
        <x:v>Pilihan laporan utama dan hasil sesuai periode/unit.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Neraca/laba rugi/arus kas/perubahan ekuitas; periode; unit; komparatif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Laporan</x:v>
      </x:c>
      <x:c r="B14" s="10" t="str">
        <x:v>Periode</x:v>
      </x:c>
      <x:c r="C14" s="10" t="str">
        <x:v>Lingkup</x:v>
      </x:c>
      <x:c r="D14" s="10" t="str">
        <x:v>Versi</x:v>
      </x:c>
      <x:c r="E14" s="10" t="str">
        <x:v>Status periode</x:v>
      </x:c>
      <x:c r="F14" s="10" t="str">
        <x:v>Penanggung jawab</x:v>
      </x:c>
      <x:c r="G14" s="10" t="str">
        <x:v>Diperbarui</x:v>
      </x:c>
      <x:c r="H14" s="10" t="str">
        <x:v>Aksi</x:v>
      </x:c>
    </x:row>
    <x:row r="15" ht="48" customHeight="1">
      <x:c r="A15" s="8" t="str">
        <x:v>Neraca</x:v>
      </x:c>
      <x:c r="B15" s="8" t="str">
        <x:v>2026-09</x:v>
      </x:c>
      <x:c r="C15" s="8" t="str">
        <x:v>HO dan unit terpilih</x:v>
      </x:c>
      <x:c r="D15" s="8" t="str">
        <x:v>Berjalan</x:v>
      </x:c>
      <x:c r="E15" s="8" t="str">
        <x:v>Terbuka</x:v>
      </x:c>
      <x:c r="F15" s="8" t="str">
        <x:v>Akuntansi</x:v>
      </x:c>
      <x:c r="G15" s="19" t="n">
        <x:v>46276</x:v>
      </x:c>
      <x:c r="H15" s="8" t="str">
        <x:v>Buka laporan</x:v>
      </x:c>
    </x:row>
    <x:row r="16" ht="48" customHeight="1">
      <x:c r="A16" s="8" t="str">
        <x:v>Laba rugi</x:v>
      </x:c>
      <x:c r="B16" s="8" t="str">
        <x:v>2026-09</x:v>
      </x:c>
      <x:c r="C16" s="8" t="str">
        <x:v>C006</x:v>
      </x:c>
      <x:c r="D16" s="8" t="str">
        <x:v>Berjalan</x:v>
      </x:c>
      <x:c r="E16" s="8" t="str">
        <x:v>Terbuka</x:v>
      </x:c>
      <x:c r="F16" s="8" t="str">
        <x:v>Akuntansi</x:v>
      </x:c>
      <x:c r="G16" s="19" t="n">
        <x:v>46276</x:v>
      </x:c>
      <x:c r="H16" s="8" t="str">
        <x:v>Buka laporan</x:v>
      </x:c>
    </x:row>
    <x:row r="18" ht="32" customHeight="1">
      <x:c r="A18" s="15" t="str">
        <x:v>Tombol / tindakan</x:v>
      </x:c>
      <x:c r="B18" s="14" t="str">
        <x:v>Buka; telusuri; ekspor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Berjalan; periode ditutup</x:v>
      </x:c>
      <x:c r="C19" s="14"/>
      <x:c r="D19" s="14"/>
      <x:c r="E19" s="14"/>
      <x:c r="F19" s="14"/>
      <x:c r="G19" s="14"/>
      <x:c r="H19" s="14"/>
    </x:row>
    <x:row r="20" ht="40" customHeight="1">
      <x:c r="A20" s="15" t="str">
        <x:v>Saat baris dibuka</x:v>
      </x:c>
      <x:c r="B20" s="14" t="str">
        <x:v>Laporan berbentuk hierarki pos dengan kolom periode ini, pembanding dan selisih. Pos → akun → jurnal → sumber. Arus kas memerlukan pemetaan tersendiri.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GL dan pemetaan laporan → hasil → telusuri sumber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Buku besar &amp; neraca saldo</x:v>
      </x:c>
      <x:c r="B25" s="17" t="str">
        <x:v>2. Buku besar &amp; neraca saldo</x:v>
      </x:c>
      <x:c r="C25" s="17" t="str">
        <x:v>2. Buku besar &amp; neraca saldo</x:v>
      </x:c>
      <x:c r="D25" s="17" t="str">
        <x:v>2. Buku besar &amp; neraca saldo</x:v>
      </x:c>
      <x:c r="E25" s="17" t="str">
        <x:v>2. Buku besar &amp; neraca saldo</x:v>
      </x:c>
      <x:c r="F25" s="17" t="str">
        <x:v>2. Buku besar &amp; neraca saldo</x:v>
      </x:c>
      <x:c r="G25" s="17" t="str">
        <x:v>2. Buku besar &amp; neraca saldo</x:v>
      </x:c>
      <x:c r="H25" s="17" t="str">
        <x:v>2. Buku besar &amp; neraca saldo</x:v>
      </x:c>
    </x:row>
    <x:row r="26" ht="32" customHeight="1">
      <x:c r="A26" s="15" t="str">
        <x:v>Tujuan tab</x:v>
      </x:c>
      <x:c r="B26" s="14" t="str">
        <x:v>Detail akun dan keseimbangan buku.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Akun; unit; periode; sumber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Kode akun</x:v>
      </x:c>
      <x:c r="B28" s="10" t="str">
        <x:v>Nama akun</x:v>
      </x:c>
      <x:c r="C28" s="10" t="str">
        <x:v>Unit</x:v>
      </x:c>
      <x:c r="D28" s="10" t="str">
        <x:v>Awal Rp</x:v>
      </x:c>
      <x:c r="E28" s="10" t="str">
        <x:v>Debit Rp</x:v>
      </x:c>
      <x:c r="F28" s="10" t="str">
        <x:v>Kredit Rp</x:v>
      </x:c>
      <x:c r="G28" s="10" t="str">
        <x:v>Akhir Rp</x:v>
      </x:c>
      <x:c r="H28" s="10" t="str">
        <x:v>Aksi</x:v>
      </x:c>
    </x:row>
    <x:row r="29" ht="48" customHeight="1">
      <x:c r="A29" s="8" t="str">
        <x:v>AKUN-CONTOH</x:v>
      </x:c>
      <x:c r="B29" s="8" t="str">
        <x:v>Kas dan bank</x:v>
      </x:c>
      <x:c r="C29" s="8" t="str">
        <x:v>HO</x:v>
      </x:c>
      <x:c r="D29" s="18" t="n">
        <x:v>20000000</x:v>
      </x:c>
      <x:c r="E29" s="18" t="n">
        <x:v>10000000</x:v>
      </x:c>
      <x:c r="F29" s="18" t="n">
        <x:v>5000000</x:v>
      </x:c>
      <x:c r="G29" s="18" t="n">
        <x:f>D29+E29-F29</x:f>
        <x:v>25000000</x:v>
      </x:c>
      <x:c r="H29" s="8" t="str">
        <x:v>Buka mutasi</x:v>
      </x:c>
    </x:row>
    <x:row r="31" ht="32" customHeight="1">
      <x:c r="A31" s="15" t="str">
        <x:v>Tombol / tindakan</x:v>
      </x:c>
      <x:c r="B31" s="14" t="str">
        <x:v>Lihat mutasi; buka jurnal; ekspor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Status dokumen</x:v>
      </x:c>
      <x:c r="B32" s="14" t="str">
        <x:v>Periode terbuka; periode ditutup</x:v>
      </x:c>
      <x:c r="C32" s="14"/>
      <x:c r="D32" s="14"/>
      <x:c r="E32" s="14"/>
      <x:c r="F32" s="14"/>
      <x:c r="G32" s="14"/>
      <x:c r="H32" s="14"/>
    </x:row>
    <x:row r="33" ht="40" customHeight="1">
      <x:c r="A33" s="15" t="str">
        <x:v>Saat baris dibuka</x:v>
      </x:c>
      <x:c r="B33" s="14" t="str">
        <x:v>Buku besar: tanggal, jurnal, sumber, uraian, debit, kredit, saldo berjalan. Neraca saldo: saldo awal, mutasi dan saldo akhir sesuai sifat akun.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Alur</x:v>
      </x:c>
      <x:c r="B34" s="14" t="str">
        <x:v>GL → akun → jurnal → dokumen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Tampilan kosong</x:v>
      </x:c>
      <x:c r="B35" s="14" t="str">
        <x:v>Tampilkan “Belum ada data sesuai filter”, pilihan hapus filter, dan aksi membuat/mengambil data hanya bila pengguna berwenang.</x:v>
      </x:c>
      <x:c r="C35" s="14"/>
      <x:c r="D35" s="14"/>
      <x:c r="E35" s="14"/>
      <x:c r="F35" s="14"/>
      <x:c r="G35" s="14"/>
      <x:c r="H35" s="14"/>
    </x:row>
    <x:row r="38" ht="27" customHeight="1">
      <x:c r="A38" s="17" t="str">
        <x:v>3. Operasional finance</x:v>
      </x:c>
      <x:c r="B38" s="17" t="str">
        <x:v>3. Operasional finance</x:v>
      </x:c>
      <x:c r="C38" s="17" t="str">
        <x:v>3. Operasional finance</x:v>
      </x:c>
      <x:c r="D38" s="17" t="str">
        <x:v>3. Operasional finance</x:v>
      </x:c>
      <x:c r="E38" s="17" t="str">
        <x:v>3. Operasional finance</x:v>
      </x:c>
      <x:c r="F38" s="17" t="str">
        <x:v>3. Operasional finance</x:v>
      </x:c>
      <x:c r="G38" s="17" t="str">
        <x:v>3. Operasional finance</x:v>
      </x:c>
      <x:c r="H38" s="17" t="str">
        <x:v>3. Operasional finance</x:v>
      </x:c>
    </x:row>
    <x:row r="39" ht="32" customHeight="1">
      <x:c r="A39" s="15" t="str">
        <x:v>Tujuan tab</x:v>
      </x:c>
      <x:c r="B39" s="14" t="str">
        <x:v>Laporan umur piutang/utang, kas dan register pendukung.</x:v>
      </x:c>
      <x:c r="C39" s="14"/>
      <x:c r="D39" s="14"/>
      <x:c r="E39" s="14"/>
      <x:c r="F39" s="14"/>
      <x:c r="G39" s="14"/>
      <x:c r="H39" s="14"/>
    </x:row>
    <x:row r="40" ht="32" customHeight="1">
      <x:c r="A40" s="15" t="str">
        <x:v>Filter</x:v>
      </x:c>
      <x:c r="B40" s="14" t="str">
        <x:v>Jenis laporan; unit; tanggal posisi; pihak; umur</x:v>
      </x:c>
      <x:c r="C40" s="14"/>
      <x:c r="D40" s="14"/>
      <x:c r="E40" s="14"/>
      <x:c r="F40" s="14"/>
      <x:c r="G40" s="14"/>
      <x:c r="H40" s="14"/>
    </x:row>
    <x:row r="41" ht="36" customHeight="1">
      <x:c r="A41" s="10" t="str">
        <x:v>Laporan</x:v>
      </x:c>
      <x:c r="B41" s="10" t="str">
        <x:v>Periode posisi</x:v>
      </x:c>
      <x:c r="C41" s="10" t="str">
        <x:v>Unit</x:v>
      </x:c>
      <x:c r="D41" s="10" t="str">
        <x:v>Dimensi utama</x:v>
      </x:c>
      <x:c r="E41" s="10" t="str">
        <x:v>Sumber register</x:v>
      </x:c>
      <x:c r="F41" s="10" t="str">
        <x:v>Pemilik</x:v>
      </x:c>
      <x:c r="G41" s="10" t="str">
        <x:v>Status data</x:v>
      </x:c>
      <x:c r="H41" s="10" t="str">
        <x:v>Aksi</x:v>
      </x:c>
    </x:row>
    <x:row r="42" ht="48" customHeight="1">
      <x:c r="A42" s="8" t="str">
        <x:v>Umur utang</x:v>
      </x:c>
      <x:c r="B42" s="19" t="n">
        <x:v>46276</x:v>
      </x:c>
      <x:c r="C42" s="8" t="str">
        <x:v>Semua yang diizinkan</x:v>
      </x:c>
      <x:c r="D42" s="8" t="str">
        <x:v>Vendor dan jatuh tempo</x:v>
      </x:c>
      <x:c r="E42" s="8" t="str">
        <x:v>Tagihan</x:v>
      </x:c>
      <x:c r="F42" s="8" t="str">
        <x:v>AP</x:v>
      </x:c>
      <x:c r="G42" s="8" t="str">
        <x:v>Berjalan</x:v>
      </x:c>
      <x:c r="H42" s="8" t="str">
        <x:v>Buka laporan</x:v>
      </x:c>
    </x:row>
    <x:row r="44" ht="32" customHeight="1">
      <x:c r="A44" s="15" t="str">
        <x:v>Tombol / tindakan</x:v>
      </x:c>
      <x:c r="B44" s="14" t="str">
        <x:v>Buka; telusuri; ekspor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Status dokumen</x:v>
      </x:c>
      <x:c r="B45" s="14" t="str">
        <x:v>Berjalan; snapshot ditutup</x:v>
      </x:c>
      <x:c r="C45" s="14"/>
      <x:c r="D45" s="14"/>
      <x:c r="E45" s="14"/>
      <x:c r="F45" s="14"/>
      <x:c r="G45" s="14"/>
      <x:c r="H45" s="14"/>
    </x:row>
    <x:row r="46" ht="40" customHeight="1">
      <x:c r="A46" s="15" t="str">
        <x:v>Saat baris dibuka</x:v>
      </x:c>
      <x:c r="B46" s="14" t="str">
        <x:v>Umur utang/piutang: pihak, dokumen, jatuh tempo, belum jatuh tempo dan bucket umur. Aset/payroll/pajak memakai register sumber masing-masing.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Alur</x:v>
      </x:c>
      <x:c r="B47" s="14" t="str">
        <x:v>Register domain → laporan → dokumen sumber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Tampilan kosong</x:v>
      </x:c>
      <x:c r="B48" s="14" t="str">
        <x:v>Tampilkan “Belum ada data sesuai filter”, pilihan hapus filter, dan aksi membuat/mengambil data hanya bila pengguna berwenang.</x:v>
      </x:c>
      <x:c r="C48" s="14"/>
      <x:c r="D48" s="14"/>
      <x:c r="E48" s="14"/>
      <x:c r="F48" s="14"/>
      <x:c r="G48" s="14"/>
      <x:c r="H48" s="14"/>
    </x:row>
    <x:row r="51" ht="27" customHeight="1">
      <x:c r="A51" s="17" t="str">
        <x:v>4. Konsolidasi</x:v>
      </x:c>
      <x:c r="B51" s="17" t="str">
        <x:v>4. Konsolidasi</x:v>
      </x:c>
      <x:c r="C51" s="17" t="str">
        <x:v>4. Konsolidasi</x:v>
      </x:c>
      <x:c r="D51" s="17" t="str">
        <x:v>4. Konsolidasi</x:v>
      </x:c>
      <x:c r="E51" s="17" t="str">
        <x:v>4. Konsolidasi</x:v>
      </x:c>
      <x:c r="F51" s="17" t="str">
        <x:v>4. Konsolidasi</x:v>
      </x:c>
      <x:c r="G51" s="17" t="str">
        <x:v>4. Konsolidasi</x:v>
      </x:c>
      <x:c r="H51" s="17" t="str">
        <x:v>4. Konsolidasi</x:v>
      </x:c>
    </x:row>
    <x:row r="52" ht="32" customHeight="1">
      <x:c r="A52" s="15" t="str">
        <x:v>Tujuan tab</x:v>
      </x:c>
      <x:c r="B52" s="14" t="str">
        <x:v>Laporan gabungan dengan cakupan dan eliminasi eksplisit.</x:v>
      </x:c>
      <x:c r="C52" s="14"/>
      <x:c r="D52" s="14"/>
      <x:c r="E52" s="14"/>
      <x:c r="F52" s="14"/>
      <x:c r="G52" s="14"/>
      <x:c r="H52" s="14"/>
    </x:row>
    <x:row r="53" ht="32" customHeight="1">
      <x:c r="A53" s="15" t="str">
        <x:v>Filter</x:v>
      </x:c>
      <x:c r="B53" s="14" t="str">
        <x:v>Periode; daftar unit; status penutupan</x:v>
      </x:c>
      <x:c r="C53" s="14"/>
      <x:c r="D53" s="14"/>
      <x:c r="E53" s="14"/>
      <x:c r="F53" s="14"/>
      <x:c r="G53" s="14"/>
      <x:c r="H53" s="14"/>
    </x:row>
    <x:row r="54" ht="36" customHeight="1">
      <x:c r="A54" s="10" t="str">
        <x:v>Paket</x:v>
      </x:c>
      <x:c r="B54" s="10" t="str">
        <x:v>Periode</x:v>
      </x:c>
      <x:c r="C54" s="10" t="str">
        <x:v>Cakupan unit</x:v>
      </x:c>
      <x:c r="D54" s="10" t="str">
        <x:v>Unit siap</x:v>
      </x:c>
      <x:c r="E54" s="10" t="str">
        <x:v>Unit belum siap</x:v>
      </x:c>
      <x:c r="F54" s="10" t="str">
        <x:v>Eliminasi</x:v>
      </x:c>
      <x:c r="G54" s="10" t="str">
        <x:v>Status</x:v>
      </x:c>
      <x:c r="H54" s="10" t="str">
        <x:v>Aksi</x:v>
      </x:c>
    </x:row>
    <x:row r="55" ht="48" customHeight="1">
      <x:c r="A55" s="8" t="str">
        <x:v>CONS-001</x:v>
      </x:c>
      <x:c r="B55" s="8" t="str">
        <x:v>2026-09</x:v>
      </x:c>
      <x:c r="C55" s="8" t="str">
        <x:v>HO dan C001–C013</x:v>
      </x:c>
      <x:c r="D55" s="8" t="n">
        <x:v>0</x:v>
      </x:c>
      <x:c r="E55" s="8" t="n">
        <x:v>14</x:v>
      </x:c>
      <x:c r="F55" s="8" t="str">
        <x:v>Belum direview</x:v>
      </x:c>
      <x:c r="G55" s="8" t="str">
        <x:v>Disiapkan</x:v>
      </x:c>
      <x:c r="H55" s="8" t="str">
        <x:v>Buka cakupan</x:v>
      </x:c>
    </x:row>
    <x:row r="57" ht="32" customHeight="1">
      <x:c r="A57" s="15" t="str">
        <x:v>Tombol / tindakan</x:v>
      </x:c>
      <x:c r="B57" s="14" t="str">
        <x:v>Pilih unit; periksa kelengkapan; tinjau eliminasi; ekspor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Status dokumen</x:v>
      </x:c>
      <x:c r="B58" s="14" t="str">
        <x:v>Disiapkan; ada selisih; direview; final</x:v>
      </x:c>
      <x:c r="C58" s="14"/>
      <x:c r="D58" s="14"/>
      <x:c r="E58" s="14"/>
      <x:c r="F58" s="14"/>
      <x:c r="G58" s="14"/>
      <x:c r="H58" s="14"/>
    </x:row>
    <x:row r="59" ht="40" customHeight="1">
      <x:c r="A59" s="15" t="str">
        <x:v>Saat baris dibuka</x:v>
      </x:c>
      <x:c r="B59" s="14" t="str">
        <x:v>Daftar semua unit terpilih, status data, rincian eliminasi dan laporan sebelum/sesudah eliminasi. Jumlah unit bukan hardcode tiga.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Alur</x:v>
      </x:c>
      <x:c r="B60" s="14" t="str">
        <x:v>Buku tiap unit → rekonsiliasi Antarunit → eliminasi sah → laporan gabungan</x:v>
      </x:c>
      <x:c r="C60" s="14"/>
      <x:c r="D60" s="14"/>
      <x:c r="E60" s="14"/>
      <x:c r="F60" s="14"/>
      <x:c r="G60" s="14"/>
      <x:c r="H60" s="14"/>
    </x:row>
    <x:row r="61" ht="32" customHeight="1">
      <x:c r="A61" s="15" t="str">
        <x:v>Tampilan kosong</x:v>
      </x:c>
      <x:c r="B61" s="14" t="str">
        <x:v>Tampilkan “Belum ada data sesuai filter”, pilihan hapus filter, dan aksi membuat/mengambil data hanya bila pengguna berwenang.</x:v>
      </x:c>
      <x:c r="C61" s="14"/>
      <x:c r="D61" s="14"/>
      <x:c r="E61" s="14"/>
      <x:c r="F61" s="14"/>
      <x:c r="G61" s="14"/>
      <x:c r="H61" s="14"/>
    </x:row>
    <x:row r="65" ht="27" customHeight="1">
      <x:c r="A65" s="17" t="str">
        <x:v>Contoh isi laporan setelah dibuka: laba rugi</x:v>
      </x:c>
      <x:c r="B65" s="17" t="str">
        <x:v>Contoh isi laporan setelah dibuka: laba rugi</x:v>
      </x:c>
      <x:c r="C65" s="17" t="str">
        <x:v>Contoh isi laporan setelah dibuka: laba rugi</x:v>
      </x:c>
      <x:c r="D65" s="17" t="str">
        <x:v>Contoh isi laporan setelah dibuka: laba rugi</x:v>
      </x:c>
      <x:c r="E65" s="17" t="str">
        <x:v>Contoh isi laporan setelah dibuka: laba rugi</x:v>
      </x:c>
      <x:c r="F65" s="17" t="str">
        <x:v>Contoh isi laporan setelah dibuka: laba rugi</x:v>
      </x:c>
      <x:c r="G65" s="17" t="str">
        <x:v>Contoh isi laporan setelah dibuka: laba rugi</x:v>
      </x:c>
      <x:c r="H65" s="17" t="str">
        <x:v>Contoh isi laporan setelah dibuka: laba rugi</x:v>
      </x:c>
    </x:row>
    <x:row r="66" ht="40" customHeight="1">
      <x:c r="A66" s="15" t="str">
        <x:v>Konteks</x:v>
      </x:c>
      <x:c r="B66" s="14" t="str">
        <x:v>Ilustrasi HO, September 2026 dibanding Agustus 2026. Pos dapat dibuka menjadi akun dan jurnal. Angka berdiri sendiri sebagai contoh bentuk laporan.</x:v>
      </x:c>
      <x:c r="C66" s="14"/>
      <x:c r="D66" s="14"/>
      <x:c r="E66" s="14"/>
      <x:c r="F66" s="14"/>
      <x:c r="G66" s="14"/>
      <x:c r="H66" s="14"/>
    </x:row>
    <x:row r="67" ht="36" customHeight="1">
      <x:c r="A67" s="10" t="str">
        <x:v>Pos laporan</x:v>
      </x:c>
      <x:c r="B67" s="10" t="str">
        <x:v>Periode ini Rp</x:v>
      </x:c>
      <x:c r="C67" s="10" t="str">
        <x:v>Pembanding Rp</x:v>
      </x:c>
      <x:c r="D67" s="10" t="str">
        <x:v>Selisih Rp</x:v>
      </x:c>
      <x:c r="E67" s="10" t="str">
        <x:v>Tingkat</x:v>
      </x:c>
      <x:c r="F67" s="10" t="str">
        <x:v>Sumber</x:v>
      </x:c>
      <x:c r="G67" s="10" t="str">
        <x:v>Tindakan</x:v>
      </x:c>
      <x:c r="H67" s="10" t="str">
        <x:v>Tampilan</x:v>
      </x:c>
    </x:row>
    <x:row r="68" ht="48" customHeight="1">
      <x:c r="A68" s="8" t="str">
        <x:v>Pendapatan</x:v>
      </x:c>
      <x:c r="B68" s="18" t="n">
        <x:v>100000000</x:v>
      </x:c>
      <x:c r="C68" s="18" t="n">
        <x:v>90000000</x:v>
      </x:c>
      <x:c r="D68" s="18" t="n">
        <x:f>B68-C68</x:f>
        <x:v>10000000</x:v>
      </x:c>
      <x:c r="E68" s="8" t="str">
        <x:v>Kelompok</x:v>
      </x:c>
      <x:c r="F68" s="8" t="str">
        <x:v>Buku besar</x:v>
      </x:c>
      <x:c r="G68" s="8" t="str">
        <x:v>Buka akun</x:v>
      </x:c>
      <x:c r="H68" s="8" t="str">
        <x:v>Dapat diperluas</x:v>
      </x:c>
    </x:row>
    <x:row r="69" ht="48" customHeight="1">
      <x:c r="A69" s="8" t="str">
        <x:v>Beban pokok</x:v>
      </x:c>
      <x:c r="B69" s="18" t="n">
        <x:v>60000000</x:v>
      </x:c>
      <x:c r="C69" s="18" t="n">
        <x:v>55000000</x:v>
      </x:c>
      <x:c r="D69" s="18" t="n">
        <x:f>B69-C69</x:f>
        <x:v>5000000</x:v>
      </x:c>
      <x:c r="E69" s="8" t="str">
        <x:v>Kelompok</x:v>
      </x:c>
      <x:c r="F69" s="8" t="str">
        <x:v>Buku besar</x:v>
      </x:c>
      <x:c r="G69" s="8" t="str">
        <x:v>Buka akun</x:v>
      </x:c>
      <x:c r="H69" s="8" t="str">
        <x:v>Dapat diperluas</x:v>
      </x:c>
    </x:row>
    <x:row r="70" ht="48" customHeight="1">
      <x:c r="A70" s="8" t="str">
        <x:v>Laba kotor</x:v>
      </x:c>
      <x:c r="B70" s="18" t="n">
        <x:f>B68-B69</x:f>
        <x:v>40000000</x:v>
      </x:c>
      <x:c r="C70" s="18" t="n">
        <x:f>C68-C69</x:f>
        <x:v>35000000</x:v>
      </x:c>
      <x:c r="D70" s="18" t="n">
        <x:f>B70-C70</x:f>
        <x:v>5000000</x:v>
      </x:c>
      <x:c r="E70" s="8" t="str">
        <x:v>Subtotal</x:v>
      </x:c>
      <x:c r="F70" s="8" t="str">
        <x:v>Pendapatan − beban pokok</x:v>
      </x:c>
      <x:c r="G70" s="8" t="str">
        <x:v>Lihat perhitungan</x:v>
      </x:c>
      <x:c r="H70" s="8" t="str">
        <x:v>Subtotal</x:v>
      </x:c>
    </x:row>
    <x:row r="71" ht="48" customHeight="1">
      <x:c r="A71" s="8" t="str">
        <x:v>Beban operasional</x:v>
      </x:c>
      <x:c r="B71" s="18" t="n">
        <x:v>20000000</x:v>
      </x:c>
      <x:c r="C71" s="18" t="n">
        <x:v>18000000</x:v>
      </x:c>
      <x:c r="D71" s="18" t="n">
        <x:f>B71-C71</x:f>
        <x:v>2000000</x:v>
      </x:c>
      <x:c r="E71" s="8" t="str">
        <x:v>Kelompok</x:v>
      </x:c>
      <x:c r="F71" s="8" t="str">
        <x:v>Buku besar</x:v>
      </x:c>
      <x:c r="G71" s="8" t="str">
        <x:v>Buka akun</x:v>
      </x:c>
      <x:c r="H71" s="8" t="str">
        <x:v>Dapat diperluas</x:v>
      </x:c>
    </x:row>
    <x:row r="72" ht="48" customHeight="1">
      <x:c r="A72" s="8" t="str">
        <x:v>Hasil contoh sebelum pos lain</x:v>
      </x:c>
      <x:c r="B72" s="18" t="n">
        <x:f>B70-B71</x:f>
        <x:v>20000000</x:v>
      </x:c>
      <x:c r="C72" s="18" t="n">
        <x:f>C70-C71</x:f>
        <x:v>17000000</x:v>
      </x:c>
      <x:c r="D72" s="18" t="n">
        <x:f>B72-C72</x:f>
        <x:v>3000000</x:v>
      </x:c>
      <x:c r="E72" s="8" t="str">
        <x:v>Subtotal</x:v>
      </x:c>
      <x:c r="F72" s="8" t="str">
        <x:v>Laba kotor − beban operasi</x:v>
      </x:c>
      <x:c r="G72" s="8" t="str">
        <x:v>Lihat perhitungan</x:v>
      </x:c>
      <x:c r="H72" s="8" t="str">
        <x:v>Ilustrasi ringkas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1:H31"/>
    <x:mergeCell ref="B32:H32"/>
    <x:mergeCell ref="B33:H33"/>
    <x:mergeCell ref="B34:H34"/>
    <x:mergeCell ref="B35:H35"/>
    <x:mergeCell ref="A38:H38"/>
    <x:mergeCell ref="B39:H39"/>
    <x:mergeCell ref="B40:H40"/>
    <x:mergeCell ref="B44:H44"/>
    <x:mergeCell ref="B45:H45"/>
    <x:mergeCell ref="B46:H46"/>
    <x:mergeCell ref="B47:H47"/>
    <x:mergeCell ref="B48:H48"/>
    <x:mergeCell ref="A51:H51"/>
    <x:mergeCell ref="B52:H52"/>
    <x:mergeCell ref="B53:H53"/>
    <x:mergeCell ref="B57:H57"/>
    <x:mergeCell ref="B58:H58"/>
    <x:mergeCell ref="B59:H59"/>
    <x:mergeCell ref="B60:H60"/>
    <x:mergeCell ref="B61:H61"/>
    <x:mergeCell ref="A65:H65"/>
    <x:mergeCell ref="B66:H66"/>
  </x:mergeCells>
  <x:pageMargins left="0.7" right="0.7" top="0.75" bottom="0.75" header="0.3" footer="0.3"/>
  <x:tableParts count="5">
    <x:tablePart xmlns:r="http://schemas.openxmlformats.org/officeDocument/2006/relationships" r:id="R99a3d7c204464f62"/>
    <x:tablePart xmlns:r="http://schemas.openxmlformats.org/officeDocument/2006/relationships" r:id="R3d10b2759504429d"/>
    <x:tablePart xmlns:r="http://schemas.openxmlformats.org/officeDocument/2006/relationships" r:id="Rd041a728f6fa42cf"/>
    <x:tablePart xmlns:r="http://schemas.openxmlformats.org/officeDocument/2006/relationships" r:id="R0f9ab077b4404ae4"/>
    <x:tablePart xmlns:r="http://schemas.openxmlformats.org/officeDocument/2006/relationships" r:id="R66f965d0e27e48a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Pengaturan Finance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Memelihara master, aturan dan akses yang digunakan seluruh menu.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Admin finance dengan reviewer berwenang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Mengatur kebijakan dan master. Tidak menjadi tempat mencatat transaksi harian atau menampung akun yang belum jelas owner-nya.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Master belum lengkap; pemetaan belum tersedia; perubahan menunggu review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Pisahkan akun aktif dan izin posting; jangan batasi pencarian COA pada 300 akun atau unit pada tiga pilihan.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COA — tab awal</x:v>
      </x:c>
      <x:c r="B11" s="17" t="str">
        <x:v>1. COA — tab awal</x:v>
      </x:c>
      <x:c r="C11" s="17" t="str">
        <x:v>1. COA — tab awal</x:v>
      </x:c>
      <x:c r="D11" s="17" t="str">
        <x:v>1. COA — tab awal</x:v>
      </x:c>
      <x:c r="E11" s="17" t="str">
        <x:v>1. COA — tab awal</x:v>
      </x:c>
      <x:c r="F11" s="17" t="str">
        <x:v>1. COA — tab awal</x:v>
      </x:c>
      <x:c r="G11" s="17" t="str">
        <x:v>1. COA — tab awal</x:v>
      </x:c>
      <x:c r="H11" s="17" t="str">
        <x:v>1. COA — tab awal</x:v>
      </x:c>
    </x:row>
    <x:row r="12" ht="32" customHeight="1">
      <x:c r="A12" s="15" t="str">
        <x:v>Tujuan tab</x:v>
      </x:c>
      <x:c r="B12" s="14" t="str">
        <x:v>Master seluruh akun dan klasifikasi pelaporannya.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Cari seluruh kode/nama; level; aktif; unit; izin posting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Kode akun</x:v>
      </x:c>
      <x:c r="B14" s="10" t="str">
        <x:v>Nama akun</x:v>
      </x:c>
      <x:c r="C14" s="10" t="str">
        <x:v>Level</x:v>
      </x:c>
      <x:c r="D14" s="10" t="str">
        <x:v>Unit</x:v>
      </x:c>
      <x:c r="E14" s="10" t="str">
        <x:v>Aktif</x:v>
      </x:c>
      <x:c r="F14" s="10" t="str">
        <x:v>Izin posting</x:v>
      </x:c>
      <x:c r="G14" s="10" t="str">
        <x:v>Kelompok laporan</x:v>
      </x:c>
      <x:c r="H14" s="10" t="str">
        <x:v>Aksi</x:v>
      </x:c>
    </x:row>
    <x:row r="15" ht="48" customHeight="1">
      <x:c r="A15" s="20" t="str">
        <x:v>201200200200</x:v>
      </x:c>
      <x:c r="B15" s="8" t="str">
        <x:v>Outstanding Giro Bank Mandiri HO</x:v>
      </x:c>
      <x:c r="C15" s="8" t="n">
        <x:v>12</x:v>
      </x:c>
      <x:c r="D15" s="8" t="str">
        <x:v>HO</x:v>
      </x:c>
      <x:c r="E15" s="8" t="str">
        <x:v>Ya</x:v>
      </x:c>
      <x:c r="F15" s="8" t="str">
        <x:v>Perlu validasi kebijakan</x:v>
      </x:c>
      <x:c r="G15" s="8" t="str">
        <x:v>Kewajiban</x:v>
      </x:c>
      <x:c r="H15" s="8" t="str">
        <x:v>Lihat akun</x:v>
      </x:c>
    </x:row>
    <x:row r="17" ht="32" customHeight="1">
      <x:c r="A17" s="15" t="str">
        <x:v>Tombol / tindakan</x:v>
      </x:c>
      <x:c r="B17" s="14" t="str">
        <x:v>Cari; lihat penggunaan; ajukan perubahan master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Aktif; nonaktif; izin posting terpisah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Hierarki, status, unit, pemetaan laporan, penggunaan rule dan riwayat perubahan. Tidak mengubah kode sumber tanpa keputusan.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Master akun → validasi → pemetaan transaksi/laporan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Pemetaan transaksi</x:v>
      </x:c>
      <x:c r="B24" s="17" t="str">
        <x:v>2. Pemetaan transaksi</x:v>
      </x:c>
      <x:c r="C24" s="17" t="str">
        <x:v>2. Pemetaan transaksi</x:v>
      </x:c>
      <x:c r="D24" s="17" t="str">
        <x:v>2. Pemetaan transaksi</x:v>
      </x:c>
      <x:c r="E24" s="17" t="str">
        <x:v>2. Pemetaan transaksi</x:v>
      </x:c>
      <x:c r="F24" s="17" t="str">
        <x:v>2. Pemetaan transaksi</x:v>
      </x:c>
      <x:c r="G24" s="17" t="str">
        <x:v>2. Pemetaan transaksi</x:v>
      </x:c>
      <x:c r="H24" s="17" t="str">
        <x:v>2. Pemetaan transaksi</x:v>
      </x:c>
    </x:row>
    <x:row r="25" ht="32" customHeight="1">
      <x:c r="A25" s="15" t="str">
        <x:v>Tujuan tab</x:v>
      </x:c>
      <x:c r="B25" s="14" t="str">
        <x:v>Pemilihan akun berdasarkan kejadian dan dimensi bisnis.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Kejadian; unit; bank; jenis; aktif/nonaktif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Kejadian</x:v>
      </x:c>
      <x:c r="B27" s="10" t="str">
        <x:v>Peran akun</x:v>
      </x:c>
      <x:c r="C27" s="10" t="str">
        <x:v>Unit</x:v>
      </x:c>
      <x:c r="D27" s="10" t="str">
        <x:v>Bank/jenis</x:v>
      </x:c>
      <x:c r="E27" s="10" t="str">
        <x:v>Akun tujuan</x:v>
      </x:c>
      <x:c r="F27" s="10" t="str">
        <x:v>Aktivasi</x:v>
      </x:c>
      <x:c r="G27" s="10" t="str">
        <x:v>Bukti uji</x:v>
      </x:c>
      <x:c r="H27" s="10" t="str">
        <x:v>Aksi</x:v>
      </x:c>
    </x:row>
    <x:row r="28" ht="48" customHeight="1">
      <x:c r="A28" s="8" t="str">
        <x:v>Penerbitan giro</x:v>
      </x:c>
      <x:c r="B28" s="8" t="str">
        <x:v>Outstanding giro</x:v>
      </x:c>
      <x:c r="C28" s="8" t="str">
        <x:v>HO</x:v>
      </x:c>
      <x:c r="D28" s="8" t="str">
        <x:v>Mandiri</x:v>
      </x:c>
      <x:c r="E28" s="20" t="str">
        <x:v>201200200200</x:v>
      </x:c>
      <x:c r="F28" s="8" t="str">
        <x:v>Usulan perbaikan</x:v>
      </x:c>
      <x:c r="G28" s="8" t="str">
        <x:v>Perlu uji ulang</x:v>
      </x:c>
      <x:c r="H28" s="8" t="str">
        <x:v>Review pemetaan</x:v>
      </x:c>
    </x:row>
    <x:row r="30" ht="32" customHeight="1">
      <x:c r="A30" s="15" t="str">
        <x:v>Tombol / tindakan</x:v>
      </x:c>
      <x:c r="B30" s="14" t="str">
        <x:v>Tinjau; simulasikan; ajukan; aktifkan setelah review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direview; aktif; nonaktif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Saat baris dibuka</x:v>
      </x:c>
      <x:c r="B32" s="14" t="str">
        <x:v>Prioritas resolusi, dimensi wajib, alasan nonaktif, contoh jurnal dan hasil uji. Rule nonaktif tidak diaktifkan hanya karena akun tersedia.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Kejadian + unit + dimensi → akun yang tepat → uji → aktivasi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Rekening &amp; pihak</x:v>
      </x:c>
      <x:c r="B37" s="17" t="str">
        <x:v>3. Rekening &amp; pihak</x:v>
      </x:c>
      <x:c r="C37" s="17" t="str">
        <x:v>3. Rekening &amp; pihak</x:v>
      </x:c>
      <x:c r="D37" s="17" t="str">
        <x:v>3. Rekening &amp; pihak</x:v>
      </x:c>
      <x:c r="E37" s="17" t="str">
        <x:v>3. Rekening &amp; pihak</x:v>
      </x:c>
      <x:c r="F37" s="17" t="str">
        <x:v>3. Rekening &amp; pihak</x:v>
      </x:c>
      <x:c r="G37" s="17" t="str">
        <x:v>3. Rekening &amp; pihak</x:v>
      </x:c>
      <x:c r="H37" s="17" t="str">
        <x:v>3. Rekening &amp; pihak</x:v>
      </x:c>
    </x:row>
    <x:row r="38" ht="32" customHeight="1">
      <x:c r="A38" s="15" t="str">
        <x:v>Tujuan tab</x:v>
      </x:c>
      <x:c r="B38" s="14" t="str">
        <x:v>Master rekening, kas, vendor, pelanggan dan pihak lain.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Jenis master; unit; aktif; kelengkapan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Master</x:v>
      </x:c>
      <x:c r="B40" s="10" t="str">
        <x:v>Kode</x:v>
      </x:c>
      <x:c r="C40" s="10" t="str">
        <x:v>Nama</x:v>
      </x:c>
      <x:c r="D40" s="10" t="str">
        <x:v>Unit</x:v>
      </x:c>
      <x:c r="E40" s="10" t="str">
        <x:v>Jenis</x:v>
      </x:c>
      <x:c r="F40" s="10" t="str">
        <x:v>Aktif</x:v>
      </x:c>
      <x:c r="G40" s="10" t="str">
        <x:v>Kelengkapan</x:v>
      </x:c>
      <x:c r="H40" s="10" t="str">
        <x:v>Aksi</x:v>
      </x:c>
    </x:row>
    <x:row r="41" ht="48" customHeight="1">
      <x:c r="A41" s="8" t="str">
        <x:v>Rekening</x:v>
      </x:c>
      <x:c r="B41" s="8" t="str">
        <x:v>BANK-HO-MDR</x:v>
      </x:c>
      <x:c r="C41" s="8" t="str">
        <x:v>Mandiri HO</x:v>
      </x:c>
      <x:c r="D41" s="8" t="str">
        <x:v>HO</x:v>
      </x:c>
      <x:c r="E41" s="8" t="str">
        <x:v>Bank</x:v>
      </x:c>
      <x:c r="F41" s="8" t="str">
        <x:v>Ya</x:v>
      </x:c>
      <x:c r="G41" s="8" t="str">
        <x:v>Pemetaan perlu review</x:v>
      </x:c>
      <x:c r="H41" s="8" t="str">
        <x:v>Buka master</x:v>
      </x:c>
    </x:row>
    <x:row r="43" ht="32" customHeight="1">
      <x:c r="A43" s="15" t="str">
        <x:v>Tombol / tindakan</x:v>
      </x:c>
      <x:c r="B43" s="14" t="str">
        <x:v>Tambah; review; nonaktifkan; lihat penggunaan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Draf; aktif; nonaktif</x:v>
      </x:c>
      <x:c r="C44" s="14"/>
      <x:c r="D44" s="14"/>
      <x:c r="E44" s="14"/>
      <x:c r="F44" s="14"/>
      <x:c r="G44" s="14"/>
      <x:c r="H44" s="14"/>
    </x:row>
    <x:row r="45" ht="40" customHeight="1">
      <x:c r="A45" s="15" t="str">
        <x:v>Saat baris dibuka</x:v>
      </x:c>
      <x:c r="B45" s="14" t="str">
        <x:v>Identitas dan data pembayaran sesuai akses; pihak dipakai lintas menu dengan satu ID. Tidak menampilkan nomor sensitif penuh di daftar.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Master tunggal → transaksi domain terkait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Kebijakan &amp; jadwal</x:v>
      </x:c>
      <x:c r="B50" s="17" t="str">
        <x:v>4. Kebijakan &amp; jadwal</x:v>
      </x:c>
      <x:c r="C50" s="17" t="str">
        <x:v>4. Kebijakan &amp; jadwal</x:v>
      </x:c>
      <x:c r="D50" s="17" t="str">
        <x:v>4. Kebijakan &amp; jadwal</x:v>
      </x:c>
      <x:c r="E50" s="17" t="str">
        <x:v>4. Kebijakan &amp; jadwal</x:v>
      </x:c>
      <x:c r="F50" s="17" t="str">
        <x:v>4. Kebijakan &amp; jadwal</x:v>
      </x:c>
      <x:c r="G50" s="17" t="str">
        <x:v>4. Kebijakan &amp; jadwal</x:v>
      </x:c>
      <x:c r="H50" s="17" t="str">
        <x:v>4. Kebijakan &amp; jadwal</x:v>
      </x:c>
    </x:row>
    <x:row r="51" ht="32" customHeight="1">
      <x:c r="A51" s="15" t="str">
        <x:v>Tujuan tab</x:v>
      </x:c>
      <x:c r="B51" s="14" t="str">
        <x:v>Konfigurasi periode, jadwal dan kebijakan yang telah disetujui.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Kategori; lingkup; masa berlaku;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Kebijakan</x:v>
      </x:c>
      <x:c r="B53" s="10" t="str">
        <x:v>Lingkup</x:v>
      </x:c>
      <x:c r="C53" s="10" t="str">
        <x:v>Berlaku mulai</x:v>
      </x:c>
      <x:c r="D53" s="10" t="str">
        <x:v>Pemilik</x:v>
      </x:c>
      <x:c r="E53" s="10" t="str">
        <x:v>Versi</x:v>
      </x:c>
      <x:c r="F53" s="10" t="str">
        <x:v>Status</x:v>
      </x:c>
      <x:c r="G53" s="10" t="str">
        <x:v>Referensi</x:v>
      </x:c>
      <x:c r="H53" s="10" t="str">
        <x:v>Aksi</x:v>
      </x:c>
    </x:row>
    <x:row r="54" ht="48" customHeight="1">
      <x:c r="A54" s="8" t="str">
        <x:v>Penyusutan aset</x:v>
      </x:c>
      <x:c r="B54" s="8" t="str">
        <x:v>Kelas peralatan</x:v>
      </x:c>
      <x:c r="C54" s="19" t="n">
        <x:v>46266</x:v>
      </x:c>
      <x:c r="D54" s="8" t="str">
        <x:v>Akuntansi</x:v>
      </x:c>
      <x:c r="E54" s="8" t="str">
        <x:v>Draf 1</x:v>
      </x:c>
      <x:c r="F54" s="8" t="str">
        <x:v>Perlu keputusan</x:v>
      </x:c>
      <x:c r="G54" s="8" t="str">
        <x:v>Keputusan internal</x:v>
      </x:c>
      <x:c r="H54" s="8" t="str">
        <x:v>Review</x:v>
      </x:c>
    </x:row>
    <x:row r="56" ht="32" customHeight="1">
      <x:c r="A56" s="15" t="str">
        <x:v>Tombol / tindakan</x:v>
      </x:c>
      <x:c r="B56" s="14" t="str">
        <x:v>Ajukan perubahan; bandingkan versi; setujui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Draf; direview; berlaku; digantikan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Nilai/parameter, dasar keputusan, masa berlaku, dampak ke jadwal aktif dan riwayat. Kalender pajak divalidasi pemilik kebijakan.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Keputusan → versi kebijakan → jadwal dan kontrol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7" customHeight="1">
      <x:c r="A63" s="17" t="str">
        <x:v>5. Akses &amp; persetujuan</x:v>
      </x:c>
      <x:c r="B63" s="17" t="str">
        <x:v>5. Akses &amp; persetujuan</x:v>
      </x:c>
      <x:c r="C63" s="17" t="str">
        <x:v>5. Akses &amp; persetujuan</x:v>
      </x:c>
      <x:c r="D63" s="17" t="str">
        <x:v>5. Akses &amp; persetujuan</x:v>
      </x:c>
      <x:c r="E63" s="17" t="str">
        <x:v>5. Akses &amp; persetujuan</x:v>
      </x:c>
      <x:c r="F63" s="17" t="str">
        <x:v>5. Akses &amp; persetujuan</x:v>
      </x:c>
      <x:c r="G63" s="17" t="str">
        <x:v>5. Akses &amp; persetujuan</x:v>
      </x:c>
      <x:c r="H63" s="17" t="str">
        <x:v>5. Akses &amp; persetujuan</x:v>
      </x:c>
    </x:row>
    <x:row r="64" ht="32" customHeight="1">
      <x:c r="A64" s="15" t="str">
        <x:v>Tujuan tab</x:v>
      </x:c>
      <x:c r="B64" s="14" t="str">
        <x:v>Hak menu, data unit dan otorisasi tindakan.</x:v>
      </x:c>
      <x:c r="C64" s="14"/>
      <x:c r="D64" s="14"/>
      <x:c r="E64" s="14"/>
      <x:c r="F64" s="14"/>
      <x:c r="G64" s="14"/>
      <x:c r="H64" s="14"/>
    </x:row>
    <x:row r="65" ht="32" customHeight="1">
      <x:c r="A65" s="15" t="str">
        <x:v>Filter</x:v>
      </x:c>
      <x:c r="B65" s="14" t="str">
        <x:v>Peran; menu; unit; status</x:v>
      </x:c>
      <x:c r="C65" s="14"/>
      <x:c r="D65" s="14"/>
      <x:c r="E65" s="14"/>
      <x:c r="F65" s="14"/>
      <x:c r="G65" s="14"/>
      <x:c r="H65" s="14"/>
    </x:row>
    <x:row r="66" ht="36" customHeight="1">
      <x:c r="A66" s="10" t="str">
        <x:v>Peran</x:v>
      </x:c>
      <x:c r="B66" s="10" t="str">
        <x:v>Menu</x:v>
      </x:c>
      <x:c r="C66" s="10" t="str">
        <x:v>Cakupan unit</x:v>
      </x:c>
      <x:c r="D66" s="10" t="str">
        <x:v>Lihat</x:v>
      </x:c>
      <x:c r="E66" s="10" t="str">
        <x:v>Buat</x:v>
      </x:c>
      <x:c r="F66" s="10" t="str">
        <x:v>Review</x:v>
      </x:c>
      <x:c r="G66" s="10" t="str">
        <x:v>Eksekusi</x:v>
      </x:c>
      <x:c r="H66" s="10" t="str">
        <x:v>Status</x:v>
      </x:c>
    </x:row>
    <x:row r="67" ht="48" customHeight="1">
      <x:c r="A67" s="8" t="str">
        <x:v>AP</x:v>
      </x:c>
      <x:c r="B67" s="8" t="str">
        <x:v>Tagihan &amp; Pengeluaran</x:v>
      </x:c>
      <x:c r="C67" s="8" t="str">
        <x:v>Unit ditugaskan</x:v>
      </x:c>
      <x:c r="D67" s="8" t="str">
        <x:v>Ya</x:v>
      </x:c>
      <x:c r="E67" s="8" t="str">
        <x:v>Ya</x:v>
      </x:c>
      <x:c r="F67" s="8" t="str">
        <x:v>Sesuai mandat</x:v>
      </x:c>
      <x:c r="G67" s="8" t="str">
        <x:v>Tidak</x:v>
      </x:c>
      <x:c r="H67" s="8" t="str">
        <x:v>Usulan</x:v>
      </x:c>
    </x:row>
    <x:row r="69" ht="32" customHeight="1">
      <x:c r="A69" s="15" t="str">
        <x:v>Tombol / tindakan</x:v>
      </x:c>
      <x:c r="B69" s="14" t="str">
        <x:v>Tinjau akses; ajukan perubahan; tetapkan reviewer</x:v>
      </x:c>
      <x:c r="C69" s="14"/>
      <x:c r="D69" s="14"/>
      <x:c r="E69" s="14"/>
      <x:c r="F69" s="14"/>
      <x:c r="G69" s="14"/>
      <x:c r="H69" s="14"/>
    </x:row>
    <x:row r="70" ht="32" customHeight="1">
      <x:c r="A70" s="15" t="str">
        <x:v>Status dokumen</x:v>
      </x:c>
      <x:c r="B70" s="14" t="str">
        <x:v>Usulan; disetujui; aktif; dicabut</x:v>
      </x:c>
      <x:c r="C70" s="14"/>
      <x:c r="D70" s="14"/>
      <x:c r="E70" s="14"/>
      <x:c r="F70" s="14"/>
      <x:c r="G70" s="14"/>
      <x:c r="H70" s="14"/>
    </x:row>
    <x:row r="71" ht="32" customHeight="1">
      <x:c r="A71" s="15" t="str">
        <x:v>Saat baris dibuka</x:v>
      </x:c>
      <x:c r="B71" s="14" t="str">
        <x:v>Hak melihat nominal/pegawai, tindakan, batas mandat dan pemisahan pengaju/reviewer sesuai kebijakan perusahaan.</x:v>
      </x:c>
      <x:c r="C71" s="14"/>
      <x:c r="D71" s="14"/>
      <x:c r="E71" s="14"/>
      <x:c r="F71" s="14"/>
      <x:c r="G71" s="14"/>
      <x:c r="H71" s="14"/>
    </x:row>
    <x:row r="72" ht="32" customHeight="1">
      <x:c r="A72" s="15" t="str">
        <x:v>Alur</x:v>
      </x:c>
      <x:c r="B72" s="14" t="str">
        <x:v>Peran + unit + mandat → tindakan yang tersedia</x:v>
      </x:c>
      <x:c r="C72" s="14"/>
      <x:c r="D72" s="14"/>
      <x:c r="E72" s="14"/>
      <x:c r="F72" s="14"/>
      <x:c r="G72" s="14"/>
      <x:c r="H72" s="14"/>
    </x:row>
    <x:row r="73" ht="32" customHeight="1">
      <x:c r="A73" s="15" t="str">
        <x:v>Tampilan kosong</x:v>
      </x:c>
      <x:c r="B73" s="14" t="str">
        <x:v>Tampilkan “Belum ada data sesuai filter”, pilihan hapus filter, dan aksi membuat/mengambil data hanya bila pengguna berwenang.</x:v>
      </x:c>
      <x:c r="C73" s="14"/>
      <x:c r="D73" s="14"/>
      <x:c r="E73" s="14"/>
      <x:c r="F73" s="14"/>
      <x:c r="G73" s="14"/>
      <x:c r="H73" s="14"/>
    </x:row>
    <x:row r="76" ht="27" customHeight="1">
      <x:c r="A76" s="17" t="str">
        <x:v>6. Riwayat perubahan</x:v>
      </x:c>
      <x:c r="B76" s="17" t="str">
        <x:v>6. Riwayat perubahan</x:v>
      </x:c>
      <x:c r="C76" s="17" t="str">
        <x:v>6. Riwayat perubahan</x:v>
      </x:c>
      <x:c r="D76" s="17" t="str">
        <x:v>6. Riwayat perubahan</x:v>
      </x:c>
      <x:c r="E76" s="17" t="str">
        <x:v>6. Riwayat perubahan</x:v>
      </x:c>
      <x:c r="F76" s="17" t="str">
        <x:v>6. Riwayat perubahan</x:v>
      </x:c>
      <x:c r="G76" s="17" t="str">
        <x:v>6. Riwayat perubahan</x:v>
      </x:c>
      <x:c r="H76" s="17" t="str">
        <x:v>6. Riwayat perubahan</x:v>
      </x:c>
    </x:row>
    <x:row r="77" ht="32" customHeight="1">
      <x:c r="A77" s="15" t="str">
        <x:v>Tujuan tab</x:v>
      </x:c>
      <x:c r="B77" s="14" t="str">
        <x:v>Audit perubahan master dan aturan lintas finance.</x:v>
      </x:c>
      <x:c r="C77" s="14"/>
      <x:c r="D77" s="14"/>
      <x:c r="E77" s="14"/>
      <x:c r="F77" s="14"/>
      <x:c r="G77" s="14"/>
      <x:c r="H77" s="14"/>
    </x:row>
    <x:row r="78" ht="32" customHeight="1">
      <x:c r="A78" s="15" t="str">
        <x:v>Filter</x:v>
      </x:c>
      <x:c r="B78" s="14" t="str">
        <x:v>Tanggal; pelaku; objek; menu</x:v>
      </x:c>
      <x:c r="C78" s="14"/>
      <x:c r="D78" s="14"/>
      <x:c r="E78" s="14"/>
      <x:c r="F78" s="14"/>
      <x:c r="G78" s="14"/>
      <x:c r="H78" s="14"/>
    </x:row>
    <x:row r="79" ht="36" customHeight="1">
      <x:c r="A79" s="10" t="str">
        <x:v>Perubahan</x:v>
      </x:c>
      <x:c r="B79" s="10" t="str">
        <x:v>Waktu</x:v>
      </x:c>
      <x:c r="C79" s="10" t="str">
        <x:v>Pelaku</x:v>
      </x:c>
      <x:c r="D79" s="10" t="str">
        <x:v>Objek</x:v>
      </x:c>
      <x:c r="E79" s="10" t="str">
        <x:v>Sebelum</x:v>
      </x:c>
      <x:c r="F79" s="10" t="str">
        <x:v>Sesudah</x:v>
      </x:c>
      <x:c r="G79" s="10" t="str">
        <x:v>Alasan</x:v>
      </x:c>
      <x:c r="H79" s="10" t="str">
        <x:v>Referensi</x:v>
      </x:c>
    </x:row>
    <x:row r="80" ht="48" customHeight="1">
      <x:c r="A80" s="8" t="str">
        <x:v>AUD-001</x:v>
      </x:c>
      <x:c r="B80" s="19" t="n">
        <x:v>46276</x:v>
      </x:c>
      <x:c r="C80" s="8" t="str">
        <x:v>Admin finance</x:v>
      </x:c>
      <x:c r="D80" s="8" t="str">
        <x:v>Pemetaan giro Mandiri</x:v>
      </x:c>
      <x:c r="E80" s="8" t="str">
        <x:v>Akun BCA</x:v>
      </x:c>
      <x:c r="F80" s="8" t="str">
        <x:v>Akun Mandiri</x:v>
      </x:c>
      <x:c r="G80" s="8" t="str">
        <x:v>Koreksi bank</x:v>
      </x:c>
      <x:c r="H80" s="8" t="str">
        <x:v>REQ-001</x:v>
      </x:c>
    </x:row>
    <x:row r="82" ht="32" customHeight="1">
      <x:c r="A82" s="15" t="str">
        <x:v>Tombol / tindakan</x:v>
      </x:c>
      <x:c r="B82" s="14" t="str">
        <x:v>Buka perbandingan; lihat persetujuan</x:v>
      </x:c>
      <x:c r="C82" s="14"/>
      <x:c r="D82" s="14"/>
      <x:c r="E82" s="14"/>
      <x:c r="F82" s="14"/>
      <x:c r="G82" s="14"/>
      <x:c r="H82" s="14"/>
    </x:row>
    <x:row r="83" ht="32" customHeight="1">
      <x:c r="A83" s="15" t="str">
        <x:v>Status dokumen</x:v>
      </x:c>
      <x:c r="B83" s="14" t="str">
        <x:v>Dicatat; tidak dapat diedit dari daftar</x:v>
      </x:c>
      <x:c r="C83" s="14"/>
      <x:c r="D83" s="14"/>
      <x:c r="E83" s="14"/>
      <x:c r="F83" s="14"/>
      <x:c r="G83" s="14"/>
      <x:c r="H83" s="14"/>
    </x:row>
    <x:row r="84" ht="32" customHeight="1">
      <x:c r="A84" s="15" t="str">
        <x:v>Saat baris dibuka</x:v>
      </x:c>
      <x:c r="B84" s="14" t="str">
        <x:v>Versi sebelum/sesudah, pemohon, reviewer, waktu, alasan dan transaksi terdampak. Contoh perubahan ini belum diterapkan.</x:v>
      </x:c>
      <x:c r="C84" s="14"/>
      <x:c r="D84" s="14"/>
      <x:c r="E84" s="14"/>
      <x:c r="F84" s="14"/>
      <x:c r="G84" s="14"/>
      <x:c r="H84" s="14"/>
    </x:row>
    <x:row r="85" ht="32" customHeight="1">
      <x:c r="A85" s="15" t="str">
        <x:v>Alur</x:v>
      </x:c>
      <x:c r="B85" s="14" t="str">
        <x:v>Perubahan disetujui → riwayat → telusuri dampak</x:v>
      </x:c>
      <x:c r="C85" s="14"/>
      <x:c r="D85" s="14"/>
      <x:c r="E85" s="14"/>
      <x:c r="F85" s="14"/>
      <x:c r="G85" s="14"/>
      <x:c r="H85" s="14"/>
    </x:row>
    <x:row r="86" ht="32" customHeight="1">
      <x:c r="A86" s="15" t="str">
        <x:v>Tampilan kosong</x:v>
      </x:c>
      <x:c r="B86" s="14" t="str">
        <x:v>Tampilkan “Belum ada data sesuai filter”, pilihan hapus filter, dan aksi membuat/mengambil data hanya bila pengguna berwenang.</x:v>
      </x:c>
      <x:c r="C86" s="14"/>
      <x:c r="D86" s="14"/>
      <x:c r="E86" s="14"/>
      <x:c r="F86" s="14"/>
      <x:c r="G86" s="14"/>
      <x:c r="H86" s="14"/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  <x:mergeCell ref="B64:H64"/>
    <x:mergeCell ref="B65:H65"/>
    <x:mergeCell ref="B69:H69"/>
    <x:mergeCell ref="B70:H70"/>
    <x:mergeCell ref="B71:H71"/>
    <x:mergeCell ref="B72:H72"/>
    <x:mergeCell ref="B73:H73"/>
    <x:mergeCell ref="A76:H76"/>
    <x:mergeCell ref="B77:H77"/>
    <x:mergeCell ref="B78:H78"/>
    <x:mergeCell ref="B82:H82"/>
    <x:mergeCell ref="B83:H83"/>
    <x:mergeCell ref="B84:H84"/>
    <x:mergeCell ref="B85:H85"/>
    <x:mergeCell ref="B86:H86"/>
  </x:mergeCells>
  <x:pageMargins left="0.7" right="0.7" top="0.75" bottom="0.75" header="0.3" footer="0.3"/>
  <x:tableParts count="6">
    <x:tablePart xmlns:r="http://schemas.openxmlformats.org/officeDocument/2006/relationships" r:id="R99c37a8a02a94ac2"/>
    <x:tablePart xmlns:r="http://schemas.openxmlformats.org/officeDocument/2006/relationships" r:id="R311c1feccbca4c90"/>
    <x:tablePart xmlns:r="http://schemas.openxmlformats.org/officeDocument/2006/relationships" r:id="Ref5e614112904f08"/>
    <x:tablePart xmlns:r="http://schemas.openxmlformats.org/officeDocument/2006/relationships" r:id="R9d3ce97d42ce4406"/>
    <x:tablePart xmlns:r="http://schemas.openxmlformats.org/officeDocument/2006/relationships" r:id="Rcc354ba898834f11"/>
    <x:tablePart xmlns:r="http://schemas.openxmlformats.org/officeDocument/2006/relationships" r:id="R7456e0f173234a2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Alur harian dan bisnis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Rujukan implementasi: setiap perpindahan antarmenu membawa identitas dokumen sumber. Satu dokumen dapat terlihat di beberapa menu tanpa dibuat ulang.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Urutan</x:v>
      </x:c>
      <x:c r="B5" s="10" t="str">
        <x:v>Waktu / pemicu</x:v>
      </x:c>
      <x:c r="C5" s="10" t="str">
        <x:v>Pekerjaan</x:v>
      </x:c>
      <x:c r="D5" s="10" t="str">
        <x:v>Menu masuk</x:v>
      </x:c>
      <x:c r="E5" s="10" t="str">
        <x:v>Tab</x:v>
      </x:c>
      <x:c r="F5" s="10" t="str">
        <x:v>Hasil yang diharapkan</x:v>
      </x:c>
      <x:c r="G5" s="10" t="str">
        <x:v>Menu lanjutan</x:v>
      </x:c>
      <x:c r="H5" s="10" t="str">
        <x:v>Kontrol utama</x:v>
      </x:c>
    </x:row>
    <x:row r="6" ht="80" customHeight="1">
      <x:c r="A6" s="8" t="n">
        <x:v>1</x:v>
      </x:c>
      <x:c r="B6" s="8" t="str">
        <x:v>Awal hari</x:v>
      </x:c>
      <x:c r="C6" s="8" t="str">
        <x:v>Tinjau prioritas</x:v>
      </x:c>
      <x:c r="D6" s="8" t="str">
        <x:v>Ringkasan</x:v>
      </x:c>
      <x:c r="E6" s="8" t="str">
        <x:v>Hari ini</x:v>
      </x:c>
      <x:c r="F6" s="8" t="str">
        <x:v>Pekerjaan ditugaskan</x:v>
      </x:c>
      <x:c r="G6" s="8" t="str">
        <x:v>Menu sumber</x:v>
      </x:c>
      <x:c r="H6" s="8" t="str">
        <x:v>Antrean sesuai unit dan akses</x:v>
      </x:c>
    </x:row>
    <x:row r="7" ht="80" customHeight="1">
      <x:c r="A7" s="8" t="n">
        <x:v>2</x:v>
      </x:c>
      <x:c r="B7" s="8" t="str">
        <x:v>Awal hari</x:v>
      </x:c>
      <x:c r="C7" s="8" t="str">
        <x:v>Cocokkan bank kemarin</x:v>
      </x:c>
      <x:c r="D7" s="8" t="str">
        <x:v>Kas &amp; Bank</x:v>
      </x:c>
      <x:c r="E7" s="8" t="str">
        <x:v>Rekonsiliasi</x:v>
      </x:c>
      <x:c r="F7" s="8" t="str">
        <x:v>Mutasi cocok / selisih ditangani</x:v>
      </x:c>
      <x:c r="G7" s="8" t="str">
        <x:v>Sumber transaksi</x:v>
      </x:c>
      <x:c r="H7" s="8" t="str">
        <x:v>Pembayaran tidak dibuat ganda</x:v>
      </x:c>
    </x:row>
    <x:row r="8" ht="80" customHeight="1">
      <x:c r="A8" s="8" t="n">
        <x:v>3</x:v>
      </x:c>
      <x:c r="B8" s="8" t="str">
        <x:v>Sepanjang hari</x:v>
      </x:c>
      <x:c r="C8" s="8" t="str">
        <x:v>Review tagihan dan klaim</x:v>
      </x:c>
      <x:c r="D8" s="8" t="str">
        <x:v>Tagihan &amp; Pengeluaran</x:v>
      </x:c>
      <x:c r="E8" s="8" t="str">
        <x:v>Tagihan; Klaim &amp; pengeluaran</x:v>
      </x:c>
      <x:c r="F8" s="8" t="str">
        <x:v>Kewajiban disetujui</x:v>
      </x:c>
      <x:c r="G8" s="8" t="str">
        <x:v>Kas &amp; Bank</x:v>
      </x:c>
      <x:c r="H8" s="8" t="str">
        <x:v>Bukti, vendor dan jenis biaya benar</x:v>
      </x:c>
    </x:row>
    <x:row r="9" ht="80" customHeight="1">
      <x:c r="A9" s="8" t="n">
        <x:v>4</x:v>
      </x:c>
      <x:c r="B9" s="8" t="str">
        <x:v>Sepanjang hari</x:v>
      </x:c>
      <x:c r="C9" s="8" t="str">
        <x:v>Cocokkan pendapatan dan settlement</x:v>
      </x:c>
      <x:c r="D9" s="8" t="str">
        <x:v>Penjualan &amp; Piutang</x:v>
      </x:c>
      <x:c r="E9" s="8" t="str">
        <x:v>Penjualan; Settlement kanal</x:v>
      </x:c>
      <x:c r="F9" s="8" t="str">
        <x:v>Penerimaan teralokasi</x:v>
      </x:c>
      <x:c r="G9" s="8" t="str">
        <x:v>Kas &amp; Bank</x:v>
      </x:c>
      <x:c r="H9" s="8" t="str">
        <x:v>Biaya kanal melekat pada settlement</x:v>
      </x:c>
    </x:row>
    <x:row r="10" ht="80" customHeight="1">
      <x:c r="A10" s="8" t="n">
        <x:v>5</x:v>
      </x:c>
      <x:c r="B10" s="8" t="str">
        <x:v>Sesuai jatuh tempo</x:v>
      </x:c>
      <x:c r="C10" s="8" t="str">
        <x:v>Eksekusi pembayaran</x:v>
      </x:c>
      <x:c r="D10" s="8" t="str">
        <x:v>Kas &amp; Bank</x:v>
      </x:c>
      <x:c r="E10" s="8" t="str">
        <x:v>Pembayaran &amp; penerimaan; Giro</x:v>
      </x:c>
      <x:c r="F10" s="8" t="str">
        <x:v>Bukti bayar dan alokasi</x:v>
      </x:c>
      <x:c r="G10" s="8" t="str">
        <x:v>Menu sumber</x:v>
      </x:c>
      <x:c r="H10" s="8" t="str">
        <x:v>Rekening, bank, unit dan otorisasi benar</x:v>
      </x:c>
    </x:row>
    <x:row r="11" ht="80" customHeight="1">
      <x:c r="A11" s="8" t="n">
        <x:v>6</x:v>
      </x:c>
      <x:c r="B11" s="8" t="str">
        <x:v>Akhir hari</x:v>
      </x:c>
      <x:c r="C11" s="8" t="str">
        <x:v>Tinjau transaksi tertunda</x:v>
      </x:c>
      <x:c r="D11" s="8" t="str">
        <x:v>Ringkasan</x:v>
      </x:c>
      <x:c r="E11" s="8" t="str">
        <x:v>Pengecualian</x:v>
      </x:c>
      <x:c r="F11" s="8" t="str">
        <x:v>Masalah memiliki owner</x:v>
      </x:c>
      <x:c r="G11" s="8" t="str">
        <x:v>Akuntansi &amp; Tutup Buku</x:v>
      </x:c>
      <x:c r="H11" s="8" t="str">
        <x:v>Tidak menandai selesai tanpa bukti</x:v>
      </x:c>
    </x:row>
    <x:row r="12" ht="80" customHeight="1">
      <x:c r="A12" s="8" t="n">
        <x:v>7</x:v>
      </x:c>
      <x:c r="B12" s="8" t="str">
        <x:v>Akhir periode</x:v>
      </x:c>
      <x:c r="C12" s="8" t="str">
        <x:v>Pengakuan dan rekonsiliasi</x:v>
      </x:c>
      <x:c r="D12" s="8" t="str">
        <x:v>Akuntansi &amp; Tutup Buku</x:v>
      </x:c>
      <x:c r="E12" s="8" t="str">
        <x:v>Pengakuan periodik; Rekonsiliasi akun</x:v>
      </x:c>
      <x:c r="F12" s="8" t="str">
        <x:v>Register cocok dengan GL</x:v>
      </x:c>
      <x:c r="G12" s="8" t="str">
        <x:v>Tutup periode</x:v>
      </x:c>
      <x:c r="H12" s="8" t="str">
        <x:v>Jadwal tidak diposting dua kali</x:v>
      </x:c>
    </x:row>
    <x:row r="13" ht="80" customHeight="1">
      <x:c r="A13" s="8" t="n">
        <x:v>8</x:v>
      </x:c>
      <x:c r="B13" s="8" t="str">
        <x:v>Akhir periode</x:v>
      </x:c>
      <x:c r="C13" s="8" t="str">
        <x:v>Review dan kunci periode</x:v>
      </x:c>
      <x:c r="D13" s="8" t="str">
        <x:v>Akuntansi &amp; Tutup Buku</x:v>
      </x:c>
      <x:c r="E13" s="8" t="str">
        <x:v>Tutup periode</x:v>
      </x:c>
      <x:c r="F13" s="8" t="str">
        <x:v>Periode tertutup dan tertelusur</x:v>
      </x:c>
      <x:c r="G13" s="8" t="str">
        <x:v>Laporan</x:v>
      </x:c>
      <x:c r="H13" s="8" t="str">
        <x:v>Laba, ekuitas dan cakupan unit dapat ditelusuri</x:v>
      </x:c>
    </x:row>
    <x:row r="14" ht="80" customHeight="1"/>
    <x:row r="15" ht="80" customHeight="1">
      <x:c r="A15" s="17" t="str">
        <x:v>Alur bisnis yang dicakup finance</x:v>
      </x:c>
      <x:c r="B15" s="17" t="str">
        <x:v>Alur bisnis yang dicakup finance</x:v>
      </x:c>
      <x:c r="C15" s="17" t="str">
        <x:v>Alur bisnis yang dicakup finance</x:v>
      </x:c>
      <x:c r="D15" s="17" t="str">
        <x:v>Alur bisnis yang dicakup finance</x:v>
      </x:c>
      <x:c r="E15" s="17" t="str">
        <x:v>Alur bisnis yang dicakup finance</x:v>
      </x:c>
      <x:c r="F15" s="17" t="str">
        <x:v>Alur bisnis yang dicakup finance</x:v>
      </x:c>
      <x:c r="G15" s="17" t="str">
        <x:v>Alur bisnis yang dicakup finance</x:v>
      </x:c>
      <x:c r="H15" s="17" t="str">
        <x:v>Alur bisnis yang dicakup finance</x:v>
      </x:c>
    </x:row>
    <x:row r="16" ht="80" customHeight="1">
      <x:c r="A16" s="10" t="str">
        <x:v>Alur bisnis</x:v>
      </x:c>
      <x:c r="B16" s="10" t="str">
        <x:v>Pemicu / sumber</x:v>
      </x:c>
      <x:c r="C16" s="10" t="str">
        <x:v>Pencatatan awal</x:v>
      </x:c>
      <x:c r="D16" s="10" t="str">
        <x:v>Kontrol utama</x:v>
      </x:c>
      <x:c r="E16" s="10" t="str">
        <x:v>Penyelesaian uang</x:v>
      </x:c>
      <x:c r="F16" s="10" t="str">
        <x:v>Rekonsiliasi</x:v>
      </x:c>
      <x:c r="G16" s="10" t="str">
        <x:v>Hasil laporan</x:v>
      </x:c>
      <x:c r="H16" s="10" t="str">
        <x:v>ID yang dipertahankan</x:v>
      </x:c>
    </x:row>
    <x:row r="17" ht="80" customHeight="1">
      <x:c r="A17" s="8" t="str">
        <x:v>Pembelian barang</x:v>
      </x:c>
      <x:c r="B17" s="8" t="str">
        <x:v>PO dan penerimaan operasi</x:v>
      </x:c>
      <x:c r="C17" s="8" t="str">
        <x:v>Persediaan + Tagihan</x:v>
      </x:c>
      <x:c r="D17" s="8" t="str">
        <x:v>Jumlah diterima, harga, invoice</x:v>
      </x:c>
      <x:c r="E17" s="8" t="str">
        <x:v>Kas &amp; Bank</x:v>
      </x:c>
      <x:c r="F17" s="8" t="str">
        <x:v>Vendor, stok, GL</x:v>
      </x:c>
      <x:c r="G17" s="8" t="str">
        <x:v>Persediaan, utang, kas</x:v>
      </x:c>
      <x:c r="H17" s="8" t="str">
        <x:v>Penerimaan → tagihan → payment</x:v>
      </x:c>
    </x:row>
    <x:row r="18" ht="80" customHeight="1">
      <x:c r="A18" s="8" t="str">
        <x:v>Pengeluaran jasa</x:v>
      </x:c>
      <x:c r="B18" s="8" t="str">
        <x:v>Kontrak / bukti jasa</x:v>
      </x:c>
      <x:c r="C18" s="8" t="str">
        <x:v>Tagihan &amp; Pengeluaran</x:v>
      </x:c>
      <x:c r="D18" s="8" t="str">
        <x:v>Jenis biaya, unit, periode</x:v>
      </x:c>
      <x:c r="E18" s="8" t="str">
        <x:v>Kas &amp; Bank</x:v>
      </x:c>
      <x:c r="F18" s="8" t="str">
        <x:v>Utang, biaya, GL</x:v>
      </x:c>
      <x:c r="G18" s="8" t="str">
        <x:v>Beban dan utang</x:v>
      </x:c>
      <x:c r="H18" s="8" t="str">
        <x:v>Tagihan → payment → jurnal</x:v>
      </x:c>
    </x:row>
    <x:row r="19" ht="80" customHeight="1">
      <x:c r="A19" s="8" t="str">
        <x:v>Penjualan kartu</x:v>
      </x:c>
      <x:c r="B19" s="8" t="str">
        <x:v>Sumber penjualan/POS</x:v>
      </x:c>
      <x:c r="C19" s="8" t="str">
        <x:v>Penjualan &amp; Piutang</x:v>
      </x:c>
      <x:c r="D19" s="8" t="str">
        <x:v>Bruto, biaya, neto</x:v>
      </x:c>
      <x:c r="E19" s="8" t="str">
        <x:v>Penerimaan Kas &amp; Bank</x:v>
      </x:c>
      <x:c r="F19" s="8" t="str">
        <x:v>Settlement dan bank</x:v>
      </x:c>
      <x:c r="G19" s="8" t="str">
        <x:v>Pendapatan, piutang, kas</x:v>
      </x:c>
      <x:c r="H19" s="8" t="str">
        <x:v>Penjualan → settlement → receipt</x:v>
      </x:c>
    </x:row>
    <x:row r="20" ht="80" customHeight="1">
      <x:c r="A20" s="8" t="str">
        <x:v>Penjualan kredit/jasa</x:v>
      </x:c>
      <x:c r="B20" s="8" t="str">
        <x:v>Penjualan / jasa disetujui</x:v>
      </x:c>
      <x:c r="C20" s="8" t="str">
        <x:v>Tagihan &amp; piutang</x:v>
      </x:c>
      <x:c r="D20" s="8" t="str">
        <x:v>Dasar pendapatan, jatuh tempo</x:v>
      </x:c>
      <x:c r="E20" s="8" t="str">
        <x:v>Penerimaan dialokasikan</x:v>
      </x:c>
      <x:c r="F20" s="8" t="str">
        <x:v>Umur piutang dan GL</x:v>
      </x:c>
      <x:c r="G20" s="8" t="str">
        <x:v>Pendapatan dan piutang</x:v>
      </x:c>
      <x:c r="H20" s="8" t="str">
        <x:v>Invoice → receipt allocation</x:v>
      </x:c>
    </x:row>
    <x:row r="21" ht="80" customHeight="1">
      <x:c r="A21" s="8" t="str">
        <x:v>Uang muka operasional</x:v>
      </x:c>
      <x:c r="B21" s="8" t="str">
        <x:v>Permintaan pegawai</x:v>
      </x:c>
      <x:c r="C21" s="8" t="str">
        <x:v>Uang muka</x:v>
      </x:c>
      <x:c r="D21" s="8" t="str">
        <x:v>Persetujuan dan bukti aktual</x:v>
      </x:c>
      <x:c r="E21" s="8" t="str">
        <x:v>Pencairan/pengembalian</x:v>
      </x:c>
      <x:c r="F21" s="8" t="str">
        <x:v>Uang muka vs biaya</x:v>
      </x:c>
      <x:c r="G21" s="8" t="str">
        <x:v>Aset lancar/beban</x:v>
      </x:c>
      <x:c r="H21" s="8" t="str">
        <x:v>Advance → payment → liquidation</x:v>
      </x:c>
    </x:row>
    <x:row r="22" ht="80" customHeight="1">
      <x:c r="A22" s="8" t="str">
        <x:v>Barang antarunit</x:v>
      </x:c>
      <x:c r="B22" s="8" t="str">
        <x:v>Pengiriman operasi</x:v>
      </x:c>
      <x:c r="C22" s="8" t="str">
        <x:v>Persediaan</x:v>
      </x:c>
      <x:c r="D22" s="8" t="str">
        <x:v>Kirim/terima dan nilai transit</x:v>
      </x:c>
      <x:c r="E22" s="8" t="str">
        <x:v>Jika diselesaikan: Antarunit</x:v>
      </x:c>
      <x:c r="F22" s="8" t="str">
        <x:v>Pasangan barang</x:v>
      </x:c>
      <x:c r="G22" s="8" t="str">
        <x:v>Persediaan, afiliasi</x:v>
      </x:c>
      <x:c r="H22" s="8" t="str">
        <x:v>Shipment → receipt → pasangan</x:v>
      </x:c>
    </x:row>
    <x:row r="23" ht="80" customHeight="1">
      <x:c r="A23" s="8" t="str">
        <x:v>Pendanaan antarunit</x:v>
      </x:c>
      <x:c r="B23" s="8" t="str">
        <x:v>Keputusan pendanaan</x:v>
      </x:c>
      <x:c r="C23" s="8" t="str">
        <x:v>Antarunit</x:v>
      </x:c>
      <x:c r="D23" s="8" t="str">
        <x:v>Keluarga pembiayaan, lawan</x:v>
      </x:c>
      <x:c r="E23" s="8" t="str">
        <x:v>Kas &amp; Bank</x:v>
      </x:c>
      <x:c r="F23" s="8" t="str">
        <x:v>Pasangan pembiayaan</x:v>
      </x:c>
      <x:c r="G23" s="8" t="str">
        <x:v>Piutang/utang afiliasi</x:v>
      </x:c>
      <x:c r="H23" s="8" t="str">
        <x:v>Funding → payment → settlement</x:v>
      </x:c>
    </x:row>
    <x:row r="24" ht="80" customHeight="1">
      <x:c r="A24" s="8" t="str">
        <x:v>Proyek menjadi aset</x:v>
      </x:c>
      <x:c r="B24" s="8" t="str">
        <x:v>Tagihan proyek dan siap pakai</x:v>
      </x:c>
      <x:c r="C24" s="8" t="str">
        <x:v>Aset &amp; Proyek</x:v>
      </x:c>
      <x:c r="D24" s="8" t="str">
        <x:v>Biaya sumber, klasifikasi</x:v>
      </x:c>
      <x:c r="E24" s="8" t="str">
        <x:v>Kas &amp; Bank dari tagihan</x:v>
      </x:c>
      <x:c r="F24" s="8" t="str">
        <x:v>Aset dan penyusutan vs GL</x:v>
      </x:c>
      <x:c r="G24" s="8" t="str">
        <x:v>Aset dan beban penyusutan</x:v>
      </x:c>
      <x:c r="H24" s="8" t="str">
        <x:v>Bill → project → asset → schedule</x:v>
      </x:c>
    </x:row>
    <x:row r="25" ht="80" customHeight="1">
      <x:c r="A25" s="8" t="str">
        <x:v>Payroll dan pinjaman pegawai</x:v>
      </x:c>
      <x:c r="B25" s="8" t="str">
        <x:v>Batch HR disetujui</x:v>
      </x:c>
      <x:c r="C25" s="8" t="str">
        <x:v>Payroll</x:v>
      </x:c>
      <x:c r="D25" s="8" t="str">
        <x:v>Komponen, pajak, potongan</x:v>
      </x:c>
      <x:c r="E25" s="8" t="str">
        <x:v>Kas &amp; Bank</x:v>
      </x:c>
      <x:c r="F25" s="8" t="str">
        <x:v>Batch, payment, piutang pegawai</x:v>
      </x:c>
      <x:c r="G25" s="8" t="str">
        <x:v>Beban, kewajiban, piutang</x:v>
      </x:c>
      <x:c r="H25" s="8" t="str">
        <x:v>Batch → obligation → payment</x:v>
      </x:c>
    </x:row>
    <x:row r="26" ht="80" customHeight="1">
      <x:c r="A26" s="8" t="str">
        <x:v>Pajak</x:v>
      </x:c>
      <x:c r="B26" s="8" t="str">
        <x:v>Tagihan/penjualan/payroll</x:v>
      </x:c>
      <x:c r="C26" s="8" t="str">
        <x:v>Pajak</x:v>
      </x:c>
      <x:c r="D26" s="8" t="str">
        <x:v>Sumber, masa, jenis</x:v>
      </x:c>
      <x:c r="E26" s="8" t="str">
        <x:v>Kas &amp; Bank</x:v>
      </x:c>
      <x:c r="F26" s="8" t="str">
        <x:v>Kewajiban, bukti bayar, laporan</x:v>
      </x:c>
      <x:c r="G26" s="8" t="str">
        <x:v>Saldo pajak</x:v>
      </x:c>
      <x:c r="H26" s="8" t="str">
        <x:v>Source → obligation → pay/file</x:v>
      </x:c>
    </x:row>
    <x:row r="27" ht="80" customHeight="1">
      <x:c r="A27" s="8" t="str">
        <x:v>Pinjaman eksternal</x:v>
      </x:c>
      <x:c r="B27" s="8" t="str">
        <x:v>Kontrak pemberi dana</x:v>
      </x:c>
      <x:c r="C27" s="8" t="str">
        <x:v>Pendanaan &amp; Modal</x:v>
      </x:c>
      <x:c r="D27" s="8" t="str">
        <x:v>Pokok, bunga, biaya</x:v>
      </x:c>
      <x:c r="E27" s="8" t="str">
        <x:v>Kas &amp; Bank</x:v>
      </x:c>
      <x:c r="F27" s="8" t="str">
        <x:v>Jadwal dan saldo pokok</x:v>
      </x:c>
      <x:c r="G27" s="8" t="str">
        <x:v>Pinjaman dan biaya</x:v>
      </x:c>
      <x:c r="H27" s="8" t="str">
        <x:v>Contract → instalment → payment</x:v>
      </x:c>
    </x:row>
    <x:row r="28" ht="80" customHeight="1">
      <x:c r="A28" s="8" t="str">
        <x:v>Modal dan distribusi</x:v>
      </x:c>
      <x:c r="B28" s="8" t="str">
        <x:v>Keputusan pemilik</x:v>
      </x:c>
      <x:c r="C28" s="8" t="str">
        <x:v>Modal &amp; distribusi</x:v>
      </x:c>
      <x:c r="D28" s="8" t="str">
        <x:v>Dasar transaksi dan pemilik</x:v>
      </x:c>
      <x:c r="E28" s="8" t="str">
        <x:v>Kas &amp; Bank bila ada</x:v>
      </x:c>
      <x:c r="F28" s="8" t="str">
        <x:v>Ekuitas vs GL</x:v>
      </x:c>
      <x:c r="G28" s="8" t="str">
        <x:v>Perubahan ekuitas</x:v>
      </x:c>
      <x:c r="H28" s="8" t="str">
        <x:v>Decision → cash → equity move</x:v>
      </x:c>
    </x:row>
    <x:row r="29" ht="80" customHeight="1">
      <x:c r="A29" s="8" t="str">
        <x:v>Penutupan periode</x:v>
      </x:c>
      <x:c r="B29" s="8" t="str">
        <x:v>Selesai proses domain</x:v>
      </x:c>
      <x:c r="C29" s="8" t="str">
        <x:v>Akuntansi &amp; Tutup Buku</x:v>
      </x:c>
      <x:c r="D29" s="8" t="str">
        <x:v>Rekonsiliasi dan checklist</x:v>
      </x:c>
      <x:c r="E29" s="8" t="str">
        <x:v>Bukan pembayaran baru</x:v>
      </x:c>
      <x:c r="F29" s="8" t="str">
        <x:v>Semua register vs GL</x:v>
      </x:c>
      <x:c r="G29" s="8" t="str">
        <x:v>Laporan periode</x:v>
      </x:c>
      <x:c r="H29" s="8" t="str">
        <x:v>Period → bukti → keputusan tutup</x:v>
      </x:c>
    </x:row>
    <x:row r="30" ht="80" customHeight="1"/>
  </x:sheetData>
  <x:mergeCells>
    <x:mergeCell ref="A1:H1"/>
    <x:mergeCell ref="A2:H3"/>
    <x:mergeCell ref="A15:H15"/>
  </x:mergeCells>
  <x:pageMargins left="0.7" right="0.7" top="0.75" bottom="0.75" header="0.3" footer="0.3"/>
  <x:tableParts count="2">
    <x:tablePart xmlns:r="http://schemas.openxmlformats.org/officeDocument/2006/relationships" r:id="R13b015a5905a4059"/>
    <x:tablePart xmlns:r="http://schemas.openxmlformats.org/officeDocument/2006/relationships" r:id="R4f7da7251f9749f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Pola layar dan batas antarmenu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Prinsip desain: menu mengikuti pekerjaan bisnis; akun COA adalah dasar pencatatan dan kontrol. Aturan di bawah merupakan usulan implementasi.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Bagian layar</x:v>
      </x:c>
      <x:c r="B5" s="10" t="str">
        <x:v>Bentuk</x:v>
      </x:c>
      <x:c r="C5" s="10" t="str">
        <x:v>Isi utama</x:v>
      </x:c>
      <x:c r="D5" s="10" t="str">
        <x:v>Perilaku</x:v>
      </x:c>
      <x:c r="E5" s="10" t="str">
        <x:v>Contoh</x:v>
      </x:c>
      <x:c r="F5" s="10" t="str">
        <x:v>Batas</x:v>
      </x:c>
      <x:c r="G5" s="10" t="str">
        <x:v>Pemilik</x:v>
      </x:c>
      <x:c r="H5" s="10" t="str">
        <x:v>Keputusan</x:v>
      </x:c>
    </x:row>
    <x:row r="6" ht="85" customHeight="1">
      <x:c r="A6" s="8" t="str">
        <x:v>Header</x:v>
      </x:c>
      <x:c r="B6" s="8" t="str">
        <x:v>Judul dan aksi utama</x:v>
      </x:c>
      <x:c r="C6" s="8" t="str">
        <x:v>Nama menu, unit, periode</x:v>
      </x:c>
      <x:c r="D6" s="8" t="str">
        <x:v>Konteks bertahan saat berpindah tab</x:v>
      </x:c>
      <x:c r="E6" s="8" t="str">
        <x:v>Tagihan; unit C006</x:v>
      </x:c>
      <x:c r="F6" s="8" t="str">
        <x:v>Tampilkan konteks lintas unit secara jelas</x:v>
      </x:c>
      <x:c r="G6" s="8" t="str">
        <x:v>Semua menu</x:v>
      </x:c>
      <x:c r="H6" s="8" t="str">
        <x:v>Usulan</x:v>
      </x:c>
    </x:row>
    <x:row r="7" ht="85" customHeight="1">
      <x:c r="A7" s="8" t="str">
        <x:v>Ringkasan</x:v>
      </x:c>
      <x:c r="B7" s="8" t="str">
        <x:v>Angka ringkas sesuai pekerjaan</x:v>
      </x:c>
      <x:c r="C7" s="8" t="str">
        <x:v>Maksimal beberapa angka yang membantu tindakan</x:v>
      </x:c>
      <x:c r="D7" s="8" t="str">
        <x:v>Klik angka menerapkan filter terkait</x:v>
      </x:c>
      <x:c r="E7" s="8" t="str">
        <x:v>Tagihan jatuh tempo</x:v>
      </x:c>
      <x:c r="F7" s="8" t="str">
        <x:v>Definisi angka harus jelas</x:v>
      </x:c>
      <x:c r="G7" s="8" t="str">
        <x:v>Semua menu</x:v>
      </x:c>
      <x:c r="H7" s="8" t="str">
        <x:v>Usulan</x:v>
      </x:c>
    </x:row>
    <x:row r="8" ht="85" customHeight="1">
      <x:c r="A8" s="8" t="str">
        <x:v>Tab</x:v>
      </x:c>
      <x:c r="B8" s="8" t="str">
        <x:v>Kelompok objek/pekerjaan</x:v>
      </x:c>
      <x:c r="C8" s="8" t="str">
        <x:v>Nama tab pada sheet menu</x:v>
      </x:c>
      <x:c r="D8" s="8" t="str">
        <x:v>Ganti tab mempertahankan konteks global</x:v>
      </x:c>
      <x:c r="E8" s="8" t="str">
        <x:v>Tagihan; uang muka</x:v>
      </x:c>
      <x:c r="F8" s="8" t="str">
        <x:v>Status menjadi filter, bukan tab berulang</x:v>
      </x:c>
      <x:c r="G8" s="8" t="str">
        <x:v>Pemilik menu</x:v>
      </x:c>
      <x:c r="H8" s="8" t="str">
        <x:v>Usulan</x:v>
      </x:c>
    </x:row>
    <x:row r="9" ht="85" customHeight="1">
      <x:c r="A9" s="8" t="str">
        <x:v>Tabel</x:v>
      </x:c>
      <x:c r="B9" s="8" t="str">
        <x:v>Daftar ringkas</x:v>
      </x:c>
      <x:c r="C9" s="8" t="str">
        <x:v>Kolom contoh di sheet menu</x:v>
      </x:c>
      <x:c r="D9" s="8" t="str">
        <x:v>Cari, urutkan, filter, buka baris</x:v>
      </x:c>
      <x:c r="E9" s="8" t="str">
        <x:v>Nomor, pihak, nilai, status</x:v>
      </x:c>
      <x:c r="F9" s="8" t="str">
        <x:v>Kolom tambahan melalui pilihan kolom/detail</x:v>
      </x:c>
      <x:c r="G9" s="8" t="str">
        <x:v>Pemilik menu</x:v>
      </x:c>
      <x:c r="H9" s="8" t="str">
        <x:v>Usulan</x:v>
      </x:c>
    </x:row>
    <x:row r="10" ht="85" customHeight="1">
      <x:c r="A10" s="8" t="str">
        <x:v>Panel detail</x:v>
      </x:c>
      <x:c r="B10" s="8" t="str">
        <x:v>Panel samping atau halaman detail</x:v>
      </x:c>
      <x:c r="C10" s="8" t="str">
        <x:v>Ringkasan; rincian; dokumen terkait; jurnal; riwayat</x:v>
      </x:c>
      <x:c r="D10" s="8" t="str">
        <x:v>Aksi sesuai status dan hak akses</x:v>
      </x:c>
      <x:c r="E10" s="8" t="str">
        <x:v>BILL-001 membuka PAY-001</x:v>
      </x:c>
      <x:c r="F10" s="8" t="str">
        <x:v>Jurnal dan riwayat baca; koreksi lewat sumber</x:v>
      </x:c>
      <x:c r="G10" s="8" t="str">
        <x:v>Pemilik dokumen</x:v>
      </x:c>
      <x:c r="H10" s="8" t="str">
        <x:v>Usulan</x:v>
      </x:c>
    </x:row>
    <x:row r="11" ht="85" customHeight="1">
      <x:c r="A11" s="8" t="str">
        <x:v>Form</x:v>
      </x:c>
      <x:c r="B11" s="8" t="str">
        <x:v>Bagian umum lalu baris rincian</x:v>
      </x:c>
      <x:c r="C11" s="8" t="str">
        <x:v>Unit, tanggal, pihak, kategori, nominal, lampiran</x:v>
      </x:c>
      <x:c r="D11" s="8" t="str">
        <x:v>Validasi sebelum pengajuan/posting</x:v>
      </x:c>
      <x:c r="E11" s="8" t="str">
        <x:v>Tagihan dengan beberapa biaya</x:v>
      </x:c>
      <x:c r="F11" s="8" t="str">
        <x:v>Akun teknis ditampilkan sesuai kebutuhan pengguna</x:v>
      </x:c>
      <x:c r="G11" s="8" t="str">
        <x:v>Pemilik dokumen</x:v>
      </x:c>
      <x:c r="H11" s="8" t="str">
        <x:v>Usulan</x:v>
      </x:c>
    </x:row>
    <x:row r="12" ht="85" customHeight="1">
      <x:c r="A12" s="8" t="str">
        <x:v>Konfirmasi aksi</x:v>
      </x:c>
      <x:c r="B12" s="8" t="str">
        <x:v>Ringkasan sebelum tindakan berdampak</x:v>
      </x:c>
      <x:c r="C12" s="8" t="str">
        <x:v>Dokumen, unit, rekening, nilai, akibat</x:v>
      </x:c>
      <x:c r="D12" s="8" t="str">
        <x:v>Jelas bedakan simpan, setujui dan eksekusi</x:v>
      </x:c>
      <x:c r="E12" s="8" t="str">
        <x:v>Bayar tagihan</x:v>
      </x:c>
      <x:c r="F12" s="8" t="str">
        <x:v>Tidak menganggap approve sama dengan paid</x:v>
      </x:c>
      <x:c r="G12" s="8" t="str">
        <x:v>Pemilik tindakan</x:v>
      </x:c>
      <x:c r="H12" s="8" t="str">
        <x:v>Usulan</x:v>
      </x:c>
    </x:row>
    <x:row r="13" ht="85" customHeight="1">
      <x:c r="A13" s="8" t="str">
        <x:v>Status</x:v>
      </x:c>
      <x:c r="B13" s="8" t="str">
        <x:v>Status dokumen dan status penyelesaian</x:v>
      </x:c>
      <x:c r="C13" s="8" t="str">
        <x:v>Approval, posting, pembayaran jika relevan</x:v>
      </x:c>
      <x:c r="D13" s="8" t="str">
        <x:v>Dapat terlihat terpisah di detail</x:v>
      </x:c>
      <x:c r="E13" s="8" t="str">
        <x:v>Disetujui; belum dibayar</x:v>
      </x:c>
      <x:c r="F13" s="8" t="str">
        <x:v>Bayar pajak terpisah dari lapor</x:v>
      </x:c>
      <x:c r="G13" s="8" t="str">
        <x:v>Pemilik dokumen</x:v>
      </x:c>
      <x:c r="H13" s="8" t="str">
        <x:v>Usulan</x:v>
      </x:c>
    </x:row>
    <x:row r="14" ht="85" customHeight="1">
      <x:c r="A14" s="8" t="str">
        <x:v>Koreksi</x:v>
      </x:c>
      <x:c r="B14" s="8" t="str">
        <x:v>Tautan ke sumber dan riwayat</x:v>
      </x:c>
      <x:c r="C14" s="8" t="str">
        <x:v>Alasan, versi atau pembalikan</x:v>
      </x:c>
      <x:c r="D14" s="8" t="str">
        <x:v>Dokumen posted tidak diubah diam-diam</x:v>
      </x:c>
      <x:c r="E14" s="8" t="str">
        <x:v>Pembatalan giro</x:v>
      </x:c>
      <x:c r="F14" s="8" t="str">
        <x:v>Dampak semua register direkonsiliasi</x:v>
      </x:c>
      <x:c r="G14" s="8" t="str">
        <x:v>Akuntansi/domain</x:v>
      </x:c>
      <x:c r="H14" s="8" t="str">
        <x:v>Usulan</x:v>
      </x:c>
    </x:row>
    <x:row r="15" ht="85" customHeight="1">
      <x:c r="A15" s="8" t="str">
        <x:v>Ekspor</x:v>
      </x:c>
      <x:c r="B15" s="8" t="str">
        <x:v>Data mengikuti filter dan izin</x:v>
      </x:c>
      <x:c r="C15" s="8" t="str">
        <x:v>Kolom pilihan, unit, periode</x:v>
      </x:c>
      <x:c r="D15" s="8" t="str">
        <x:v>Tidak membocorkan data pegawai/unit lain</x:v>
      </x:c>
      <x:c r="E15" s="8" t="str">
        <x:v>Daftar piutang</x:v>
      </x:c>
      <x:c r="F15" s="8" t="str">
        <x:v>Ekspor bukan jalur transaksi baru</x:v>
      </x:c>
      <x:c r="G15" s="8" t="str">
        <x:v>Semua menu</x:v>
      </x:c>
      <x:c r="H15" s="8" t="str">
        <x:v>Usulan</x:v>
      </x:c>
    </x:row>
    <x:row r="16" ht="85" customHeight="1"/>
    <x:row r="17" ht="85" customHeight="1">
      <x:c r="A17" s="17" t="str">
        <x:v>Batas tanggung jawab yang harus konsisten</x:v>
      </x:c>
      <x:c r="B17" s="17" t="str">
        <x:v>Batas tanggung jawab yang harus konsisten</x:v>
      </x:c>
      <x:c r="C17" s="17" t="str">
        <x:v>Batas tanggung jawab yang harus konsisten</x:v>
      </x:c>
      <x:c r="D17" s="17" t="str">
        <x:v>Batas tanggung jawab yang harus konsisten</x:v>
      </x:c>
      <x:c r="E17" s="17" t="str">
        <x:v>Batas tanggung jawab yang harus konsisten</x:v>
      </x:c>
      <x:c r="F17" s="17" t="str">
        <x:v>Batas tanggung jawab yang harus konsisten</x:v>
      </x:c>
      <x:c r="G17" s="17" t="str">
        <x:v>Batas tanggung jawab yang harus konsisten</x:v>
      </x:c>
      <x:c r="H17" s="17" t="str">
        <x:v>Batas tanggung jawab yang harus konsisten</x:v>
      </x:c>
    </x:row>
    <x:row r="18" ht="85" customHeight="1">
      <x:c r="A18" s="10" t="str">
        <x:v>Pertemuan</x:v>
      </x:c>
      <x:c r="B18" s="10" t="str">
        <x:v>Sumber dokumen</x:v>
      </x:c>
      <x:c r="C18" s="10" t="str">
        <x:v>Pemilik proses</x:v>
      </x:c>
      <x:c r="D18" s="10" t="str">
        <x:v>Menu yang menampilkan</x:v>
      </x:c>
      <x:c r="E18" s="10" t="str">
        <x:v>Aksi yang dipakai bersama</x:v>
      </x:c>
      <x:c r="F18" s="10" t="str">
        <x:v>Yang harus dicegah</x:v>
      </x:c>
      <x:c r="G18" s="10" t="str">
        <x:v>Bukti penerimaan</x:v>
      </x:c>
      <x:c r="H18" s="10" t="str">
        <x:v>Prioritas</x:v>
      </x:c>
    </x:row>
    <x:row r="19" ht="85" customHeight="1">
      <x:c r="A19" s="8" t="str">
        <x:v>Tagihan dan kas</x:v>
      </x:c>
      <x:c r="B19" s="8" t="str">
        <x:v>Tagihan vendor</x:v>
      </x:c>
      <x:c r="C19" s="8" t="str">
        <x:v>AP / Treasury sesuai tahap</x:v>
      </x:c>
      <x:c r="D19" s="8" t="str">
        <x:v>Tagihan; Kas &amp; Bank</x:v>
      </x:c>
      <x:c r="E19" s="8" t="str">
        <x:v>Satu payment dan alokasi</x:v>
      </x:c>
      <x:c r="F19" s="8" t="str">
        <x:v>Pembayaran hilang dari register atau ganda</x:v>
      </x:c>
      <x:c r="G19" s="8" t="str">
        <x:v>Bayar dari tagihan tampil di kedua menu</x:v>
      </x:c>
      <x:c r="H19" s="8" t="str">
        <x:v>Pertama</x:v>
      </x:c>
    </x:row>
    <x:row r="20" ht="85" customHeight="1">
      <x:c r="A20" s="8" t="str">
        <x:v>Giro dan bank</x:v>
      </x:c>
      <x:c r="B20" s="8" t="str">
        <x:v>Instrumen giro</x:v>
      </x:c>
      <x:c r="C20" s="8" t="str">
        <x:v>Treasury</x:v>
      </x:c>
      <x:c r="D20" s="8" t="str">
        <x:v>Giro; Pembayaran; Rekonsiliasi</x:v>
      </x:c>
      <x:c r="E20" s="8" t="str">
        <x:v>Satu bank dan nomor instrumen</x:v>
      </x:c>
      <x:c r="F20" s="8" t="str">
        <x:v>Giro Mandiri memakai akun BCA</x:v>
      </x:c>
      <x:c r="G20" s="8" t="str">
        <x:v>Uji bank berbeda, cair dan batal</x:v>
      </x:c>
      <x:c r="H20" s="8" t="str">
        <x:v>Pertama</x:v>
      </x:c>
    </x:row>
    <x:row r="21" ht="85" customHeight="1">
      <x:c r="A21" s="8" t="str">
        <x:v>Barang dan antarunit</x:v>
      </x:c>
      <x:c r="B21" s="8" t="str">
        <x:v>Pengiriman/penerimaan</x:v>
      </x:c>
      <x:c r="C21" s="8" t="str">
        <x:v>Persediaan untuk barang; Antarunit untuk saldo</x:v>
      </x:c>
      <x:c r="D21" s="8" t="str">
        <x:v>Persediaan; Antarunit</x:v>
      </x:c>
      <x:c r="E21" s="8" t="str">
        <x:v>Satu sumber, dua tanggung jawab</x:v>
      </x:c>
      <x:c r="F21" s="8" t="str">
        <x:v>Duplikasi kirim/terima atau salah keluarga</x:v>
      </x:c>
      <x:c r="G21" s="8" t="str">
        <x:v>Nilai barang dan pasangan cocok</x:v>
      </x:c>
      <x:c r="H21" s="8" t="str">
        <x:v>Pertama</x:v>
      </x:c>
    </x:row>
    <x:row r="22" ht="85" customHeight="1">
      <x:c r="A22" s="8" t="str">
        <x:v>Pendanaan antarunit</x:v>
      </x:c>
      <x:c r="B22" s="8" t="str">
        <x:v>Keputusan pembiayaan</x:v>
      </x:c>
      <x:c r="C22" s="8" t="str">
        <x:v>Antarunit</x:v>
      </x:c>
      <x:c r="D22" s="8" t="str">
        <x:v>Antarunit; Kas &amp; Bank</x:v>
      </x:c>
      <x:c r="E22" s="8" t="str">
        <x:v>Settlement jenis pembiayaan</x:v>
      </x:c>
      <x:c r="F22" s="8" t="str">
        <x:v>Pelunasan mengurangi utang barang</x:v>
      </x:c>
      <x:c r="G22" s="8" t="str">
        <x:v>Saldo keluarga pembiayaan berkurang</x:v>
      </x:c>
      <x:c r="H22" s="8" t="str">
        <x:v>Pertama</x:v>
      </x:c>
    </x:row>
    <x:row r="23" ht="85" customHeight="1">
      <x:c r="A23" s="8" t="str">
        <x:v>Payroll dan piutang pegawai</x:v>
      </x:c>
      <x:c r="B23" s="8" t="str">
        <x:v>Batch dan pinjaman</x:v>
      </x:c>
      <x:c r="C23" s="8" t="str">
        <x:v>Payroll</x:v>
      </x:c>
      <x:c r="D23" s="8" t="str">
        <x:v>Payroll; Kas &amp; Bank; GL</x:v>
      </x:c>
      <x:c r="E23" s="8" t="str">
        <x:v>Potongan dengan referensi batch</x:v>
      </x:c>
      <x:c r="F23" s="8" t="str">
        <x:v>Saldo piutang berubah tanpa jurnal</x:v>
      </x:c>
      <x:c r="G23" s="8" t="str">
        <x:v>Register pegawai sama dengan GL</x:v>
      </x:c>
      <x:c r="H23" s="8" t="str">
        <x:v>Pertama</x:v>
      </x:c>
    </x:row>
    <x:row r="24" ht="85" customHeight="1">
      <x:c r="A24" s="8" t="str">
        <x:v>Pajak dan kas</x:v>
      </x:c>
      <x:c r="B24" s="8" t="str">
        <x:v>Kewajiban pajak</x:v>
      </x:c>
      <x:c r="C24" s="8" t="str">
        <x:v>Pajak / Treasury sesuai tahap</x:v>
      </x:c>
      <x:c r="D24" s="8" t="str">
        <x:v>Pajak; Kas &amp; Bank</x:v>
      </x:c>
      <x:c r="E24" s="8" t="str">
        <x:v>Payment dan bukti bayar</x:v>
      </x:c>
      <x:c r="F24" s="8" t="str">
        <x:v>Status lapor dianggap status bayar</x:v>
      </x:c>
      <x:c r="G24" s="8" t="str">
        <x:v>Bayar dan lapor diuji terpisah</x:v>
      </x:c>
      <x:c r="H24" s="8" t="str">
        <x:v>Pertama</x:v>
      </x:c>
    </x:row>
    <x:row r="25" ht="85" customHeight="1">
      <x:c r="A25" s="8" t="str">
        <x:v>Tutup buku dan ekuitas</x:v>
      </x:c>
      <x:c r="B25" s="8" t="str">
        <x:v>Buku besar periode</x:v>
      </x:c>
      <x:c r="C25" s="8" t="str">
        <x:v>Akuntansi</x:v>
      </x:c>
      <x:c r="D25" s="8" t="str">
        <x:v>Tutup buku; Modal; Laporan</x:v>
      </x:c>
      <x:c r="E25" s="8" t="str">
        <x:v>Hasil periode tertelusur</x:v>
      </x:c>
      <x:c r="F25" s="8" t="str">
        <x:v>Laba ekuitas berupa angka contoh tetap</x:v>
      </x:c>
      <x:c r="G25" s="8" t="str">
        <x:v>Laporan hasil sama dengan jembatan ekuitas</x:v>
      </x:c>
      <x:c r="H25" s="8" t="str">
        <x:v>Pertama</x:v>
      </x:c>
    </x:row>
    <x:row r="26" ht="85" customHeight="1">
      <x:c r="A26" s="8" t="str">
        <x:v>Biaya kanal dan biaya umum</x:v>
      </x:c>
      <x:c r="B26" s="8" t="str">
        <x:v>Settlement kanal</x:v>
      </x:c>
      <x:c r="C26" s="8" t="str">
        <x:v>Penjualan &amp; Piutang</x:v>
      </x:c>
      <x:c r="D26" s="8" t="str">
        <x:v>Settlement; GL; laporan biaya</x:v>
      </x:c>
      <x:c r="E26" s="8" t="str">
        <x:v>Biaya dari settlement yang sama</x:v>
      </x:c>
      <x:c r="F26" s="8" t="str">
        <x:v>Tagihan biaya kartu dibuat ulang</x:v>
      </x:c>
      <x:c r="G26" s="8" t="str">
        <x:v>Bruto dikurangi biaya sama dengan neto</x:v>
      </x:c>
      <x:c r="H26" s="8" t="str">
        <x:v>Berikutnya</x:v>
      </x:c>
    </x:row>
    <x:row r="27" ht="85" customHeight="1">
      <x:c r="A27" s="8" t="str">
        <x:v>Jurnal dan domain</x:v>
      </x:c>
      <x:c r="B27" s="8" t="str">
        <x:v>Dokumen asli</x:v>
      </x:c>
      <x:c r="C27" s="8" t="str">
        <x:v>Domain; Akuntansi untuk kontrol</x:v>
      </x:c>
      <x:c r="D27" s="8" t="str">
        <x:v>Semua sumber; Jurnal</x:v>
      </x:c>
      <x:c r="E27" s="8" t="str">
        <x:v>Validasi akun yang sama</x:v>
      </x:c>
      <x:c r="F27" s="8" t="str">
        <x:v>Akun nonaktif, induk atau unit salah</x:v>
      </x:c>
      <x:c r="G27" s="8" t="str">
        <x:v>Uji negatif ditolak di semua jalur</x:v>
      </x:c>
      <x:c r="H27" s="8" t="str">
        <x:v>Pertama</x:v>
      </x:c>
    </x:row>
    <x:row r="28" ht="85" customHeight="1"/>
    <x:row r="29" ht="27" customHeight="1">
      <x:c r="A29" s="17" t="str">
        <x:v>Sumber dan asumsi</x:v>
      </x:c>
      <x:c r="B29" s="17" t="str">
        <x:v>Sumber dan asumsi</x:v>
      </x:c>
      <x:c r="C29" s="17" t="str">
        <x:v>Sumber dan asumsi</x:v>
      </x:c>
      <x:c r="D29" s="17" t="str">
        <x:v>Sumber dan asumsi</x:v>
      </x:c>
      <x:c r="E29" s="17" t="str">
        <x:v>Sumber dan asumsi</x:v>
      </x:c>
      <x:c r="F29" s="17" t="str">
        <x:v>Sumber dan asumsi</x:v>
      </x:c>
      <x:c r="G29" s="17" t="str">
        <x:v>Sumber dan asumsi</x:v>
      </x:c>
      <x:c r="H29" s="17" t="str">
        <x:v>Sumber dan asumsi</x:v>
      </x:c>
    </x:row>
    <x:row r="30" ht="32" customHeight="1">
      <x:c r="A30" s="15" t="str">
        <x:v>Sumber COA</x:v>
      </x:c>
      <x:c r="B30" s="14" t="str">
        <x:v>Laporan_Master_Account1.csv: 7.528 kode, dibandingkan dengan master Finance Lab pada audit 10 September 2026.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Sumber audit</x:v>
      </x:c>
      <x:c r="B31" s="14" t="str">
        <x:v>Hasil_Pembuktian_Finance.md dan Pembuktian_Finance_COA.xlsx: hasil runtime, cakupan akun dan usulan penanggung jawab kontrol.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Sumber rancangan</x:v>
      </x:c>
      <x:c r="B32" s="14" t="str">
        <x:v>Review Finance Lab 10 September 2026 dan permintaan rancangan tabel per menu 11 September 2026. Struktur layar, status dan contoh adalah usulan baru.</x:v>
      </x:c>
      <x:c r="C32" s="14"/>
      <x:c r="D32" s="14"/>
      <x:c r="E32" s="14"/>
      <x:c r="F32" s="14"/>
      <x:c r="G32" s="14"/>
      <x:c r="H32" s="14"/>
    </x:row>
    <x:row r="33" ht="40" customHeight="1">
      <x:c r="A33" s="15" t="str">
        <x:v>Batas bukti</x:v>
      </x:c>
      <x:c r="B33" s="14" t="str">
        <x:v>Tidak menyatakan semua fitur sudah tersedia. Contoh tiap tab berdiri sendiri kecuali ID sengaja dihubungkan. Angka bukan saldo perusahaan atau perhitungan pajak.</x:v>
      </x:c>
      <x:c r="C33" s="14"/>
      <x:c r="D33" s="14"/>
      <x:c r="E33" s="14"/>
      <x:c r="F33" s="14"/>
      <x:c r="G33" s="14"/>
      <x:c r="H33" s="14"/>
    </x:row>
    <x:row r="34" ht="40" customHeight="1">
      <x:c r="A34" s="15" t="str">
        <x:v>COA dan menu</x:v>
      </x:c>
      <x:c r="B34" s="14" t="str">
        <x:v>Penanggung jawab kontrol akun tidak selalu menu asal jurnal. Biaya bank dari akuisisi aset atau biaya housekeeping dari payroll tetap mengikuti dokumen sumber yang sah.</x:v>
      </x:c>
      <x:c r="C34" s="14"/>
      <x:c r="D34" s="14"/>
      <x:c r="E34" s="14"/>
      <x:c r="F34" s="14"/>
      <x:c r="G34" s="14"/>
      <x:c r="H34" s="14"/>
    </x:row>
  </x:sheetData>
  <x:mergeCells>
    <x:mergeCell ref="A1:H1"/>
    <x:mergeCell ref="A2:H3"/>
    <x:mergeCell ref="A17:H17"/>
    <x:mergeCell ref="A29:H29"/>
    <x:mergeCell ref="B30:H30"/>
    <x:mergeCell ref="B31:H31"/>
    <x:mergeCell ref="B32:H32"/>
    <x:mergeCell ref="B33:H33"/>
    <x:mergeCell ref="B34:H34"/>
  </x:mergeCells>
  <x:pageMargins left="0.7" right="0.7" top="0.75" bottom="0.75" header="0.3" footer="0.3"/>
  <x:tableParts count="2">
    <x:tablePart xmlns:r="http://schemas.openxmlformats.org/officeDocument/2006/relationships" r:id="Ree19c533eba84af6"/>
    <x:tablePart xmlns:r="http://schemas.openxmlformats.org/officeDocument/2006/relationships" r:id="Rd8e0c1acfa4b45b6"/>
  </x:tableParts>
</x:worksheet>
</file>