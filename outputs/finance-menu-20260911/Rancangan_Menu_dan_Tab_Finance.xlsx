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4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5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6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7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8.xml" ContentType="application/vnd.openxmlformats-officedocument.spreadsheetml.workshee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worksheets/sheet9.xml" ContentType="application/vnd.openxmlformats-officedocument.spreadsheetml.worksheet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worksheets/sheet10.xml" ContentType="application/vnd.openxmlformats-officedocument.spreadsheetml.worksheet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worksheets/sheet11.xml" ContentType="application/vnd.openxmlformats-officedocument.spreadsheetml.worksheet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worksheets/sheet12.xml" ContentType="application/vnd.openxmlformats-officedocument.spreadsheetml.worksheet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worksheets/sheet13.xml" ContentType="application/vnd.openxmlformats-officedocument.spreadsheetml.worksheet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worksheets/sheet14.xml" ContentType="application/vnd.openxmlformats-officedocument.spreadsheetml.worksheet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worksheets/sheet15.xml" ContentType="application/vnd.openxmlformats-officedocument.spreadsheetml.worksheet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worksheets/sheet16.xml" ContentType="application/vnd.openxmlformats-officedocument.spreadsheetml.worksheet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worksheets/sheet17.xml" ContentType="application/vnd.openxmlformats-officedocument.spreadsheetml.worksheet+xml"/>
  <Override PartName="/xl/tables/table74.xml" ContentType="application/vnd.openxmlformats-officedocument.spreadsheetml.table+xml"/>
  <Override PartName="/xl/worksheets/sheet18.xml" ContentType="application/vnd.openxmlformats-officedocument.spreadsheetml.worksheet+xml"/>
  <Override PartName="/xl/tables/table75.xml" ContentType="application/vnd.openxmlformats-officedocument.spreadsheetml.table+xml"/>
  <Override PartName="/xl/worksheets/sheet19.xml" ContentType="application/vnd.openxmlformats-officedocument.spreadsheetml.worksheet+xml"/>
  <Override PartName="/xl/tables/table76.xml" ContentType="application/vnd.openxmlformats-officedocument.spreadsheetml.table+xml"/>
  <Override PartName="/xl/worksheets/sheet20.xml" ContentType="application/vnd.openxmlformats-officedocument.spreadsheetml.worksheet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worksheets/sheet21.xml" ContentType="application/vnd.openxmlformats-officedocument.spreadsheetml.worksheet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worksheets/sheet22.xml" ContentType="application/vnd.openxmlformats-officedocument.spreadsheetml.worksheet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worksheets/sheet23.xml" ContentType="application/vnd.openxmlformats-officedocument.spreadsheetml.worksheet+xml"/>
  <Override PartName="/xl/tables/table10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be094ce6a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Peta Menu" sheetId="1" r:id="R26acba16afdd4c1e"/>
    <x:sheet xmlns:r="http://schemas.openxmlformats.org/officeDocument/2006/relationships" name="01 Ringkasan" sheetId="2" r:id="R7966ad09d00943ad"/>
    <x:sheet xmlns:r="http://schemas.openxmlformats.org/officeDocument/2006/relationships" name="02 Kas dan Bank" sheetId="3" r:id="R3709b4ca4c904207"/>
    <x:sheet xmlns:r="http://schemas.openxmlformats.org/officeDocument/2006/relationships" name="03 Tagihan dan Pengeluaran" sheetId="4" r:id="R5d05050b4be94759"/>
    <x:sheet xmlns:r="http://schemas.openxmlformats.org/officeDocument/2006/relationships" name="04 Penjualan dan Piutang" sheetId="5" r:id="R059ae167e93c47b2"/>
    <x:sheet xmlns:r="http://schemas.openxmlformats.org/officeDocument/2006/relationships" name="05 Persediaan" sheetId="6" r:id="R8ac42ff226154ef5"/>
    <x:sheet xmlns:r="http://schemas.openxmlformats.org/officeDocument/2006/relationships" name="06 Antarunit" sheetId="7" r:id="R290c279b8f6f4488"/>
    <x:sheet xmlns:r="http://schemas.openxmlformats.org/officeDocument/2006/relationships" name="07 Aset dan Proyek" sheetId="8" r:id="R7d408bbb6c9647cd"/>
    <x:sheet xmlns:r="http://schemas.openxmlformats.org/officeDocument/2006/relationships" name="08 Payroll" sheetId="9" r:id="R2f0454cea4d94838"/>
    <x:sheet xmlns:r="http://schemas.openxmlformats.org/officeDocument/2006/relationships" name="09 Pajak" sheetId="10" r:id="Rfe0517badb9642da"/>
    <x:sheet xmlns:r="http://schemas.openxmlformats.org/officeDocument/2006/relationships" name="10 Pendanaan dan Modal" sheetId="11" r:id="Reb9970d8ba7c4b48"/>
    <x:sheet xmlns:r="http://schemas.openxmlformats.org/officeDocument/2006/relationships" name="11 Akuntansi dan Tutup Buku" sheetId="12" r:id="R3fb1b967e9ad4029"/>
    <x:sheet xmlns:r="http://schemas.openxmlformats.org/officeDocument/2006/relationships" name="12 Laporan" sheetId="13" r:id="R3b8b4fcd15f2457b"/>
    <x:sheet xmlns:r="http://schemas.openxmlformats.org/officeDocument/2006/relationships" name="13 Pengaturan Finance" sheetId="14" r:id="R4eac8272f87c40cd"/>
    <x:sheet xmlns:r="http://schemas.openxmlformats.org/officeDocument/2006/relationships" name="14 Alur Harian dan Bisnis" sheetId="15" r:id="Rb14677be04124119"/>
    <x:sheet xmlns:r="http://schemas.openxmlformats.org/officeDocument/2006/relationships" name="15 Pola Layar dan Batas" sheetId="16" r:id="Rd1480aae29cb4580"/>
    <x:sheet xmlns:r="http://schemas.openxmlformats.org/officeDocument/2006/relationships" name="16 Sidebar per Tab" sheetId="17" r:id="Rdd591bd9692b4562"/>
    <x:sheet xmlns:r="http://schemas.openxmlformats.org/officeDocument/2006/relationships" name="17 Tombol Sidebar" sheetId="18" r:id="Re7b685e319954267"/>
    <x:sheet xmlns:r="http://schemas.openxmlformats.org/officeDocument/2006/relationships" name="18 Form dan Field" sheetId="19" r:id="R97d5352c448c490e"/>
    <x:sheet xmlns:r="http://schemas.openxmlformats.org/officeDocument/2006/relationships" name="19 Alur Form dan Status" sheetId="20" r:id="Rbd224479dad04752"/>
    <x:sheet xmlns:r="http://schemas.openxmlformats.org/officeDocument/2006/relationships" name="20 Contoh Subtable" sheetId="21" r:id="R6accfe94133b47c7"/>
    <x:sheet xmlns:r="http://schemas.openxmlformats.org/officeDocument/2006/relationships" name="21 Aturan Edit Tabel" sheetId="22" r:id="Rca0c844abca7425a"/>
    <x:sheet xmlns:r="http://schemas.openxmlformats.org/officeDocument/2006/relationships" name="22 Contoh Sidebar" sheetId="23" r:id="R829f59036be04e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&quot;—&quot;"/>
    <x:numFmt numFmtId="201" formatCode="dd mmm yyyy"/>
    <x:numFmt numFmtId="202" formatCode="0"/>
    <x:numFmt numFmtId="203" formatCode="#,##0"/>
  </x:numFmts>
  <x:fonts count="13">
    <x:font>
      <x:sz val="11"/>
      <x:name val="Carlito"/>
    </x:font>
    <x:font>
      <x:sz val="11"/>
      <x:name val="Arial"/>
    </x:font>
    <x:font>
      <x:b/>
      <x:sz val="17"/>
      <x:color rgb="FF172B4D"/>
      <x:name val="Arial"/>
    </x:font>
    <x:font>
      <x:sz val="10"/>
      <x:color rgb="FF556477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344054"/>
      <x:name val="Arial"/>
    </x:font>
    <x:font>
      <x:b/>
      <x:sz val="10"/>
      <x:color rgb="FF344054"/>
      <x:name val="Arial"/>
    </x:font>
    <x:font>
      <x:b/>
      <x:sz val="12"/>
      <x:color rgb="FF172B4D"/>
      <x:name val="Arial"/>
    </x:font>
    <x:font>
      <x:sz val="10"/>
      <x:color rgb="FF526176"/>
      <x:name val="Arial"/>
    </x:font>
    <x:font>
      <x:b/>
      <x:sz val="10"/>
      <x:name val="Arial"/>
    </x:font>
    <x:font>
      <x:b/>
      <x:sz val="10"/>
      <x:color rgb="FF172B4D"/>
      <x:name val="Arial"/>
    </x:font>
    <x:font>
      <x:sz val="10"/>
      <x:color rgb="FF172B4D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2CC"/>
      </x:patternFill>
    </x:fill>
    <x:fill>
      <x:patternFill patternType="solid">
        <x:fgColor rgb="FFE7EDF4"/>
      </x:patternFill>
    </x:fill>
    <x:fill>
      <x:patternFill patternType="solid">
        <x:fgColor rgb="FF243B53"/>
      </x:patternFill>
    </x:fill>
    <x:fill>
      <x:patternFill patternType="solid">
        <x:fgColor rgb="FFE7EDF4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20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200" fontId="4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9aec8838b34c63" /><Relationship Type="http://schemas.openxmlformats.org/officeDocument/2006/relationships/theme" Target="/xl/theme/theme1.xml" Id="R987738a248db4c2e" /><Relationship Type="http://schemas.openxmlformats.org/officeDocument/2006/relationships/sharedStrings" Target="/xl/sharedStrings.xml" Id="Rf88da97ce877420d" /><Relationship Type="http://schemas.openxmlformats.org/officeDocument/2006/relationships/worksheet" Target="/xl/worksheets/sheet1.xml" Id="R26acba16afdd4c1e" /><Relationship Type="http://schemas.openxmlformats.org/officeDocument/2006/relationships/worksheet" Target="/xl/worksheets/sheet2.xml" Id="R7966ad09d00943ad" /><Relationship Type="http://schemas.openxmlformats.org/officeDocument/2006/relationships/worksheet" Target="/xl/worksheets/sheet3.xml" Id="R3709b4ca4c904207" /><Relationship Type="http://schemas.openxmlformats.org/officeDocument/2006/relationships/worksheet" Target="/xl/worksheets/sheet4.xml" Id="R5d05050b4be94759" /><Relationship Type="http://schemas.openxmlformats.org/officeDocument/2006/relationships/worksheet" Target="/xl/worksheets/sheet5.xml" Id="R059ae167e93c47b2" /><Relationship Type="http://schemas.openxmlformats.org/officeDocument/2006/relationships/worksheet" Target="/xl/worksheets/sheet6.xml" Id="R8ac42ff226154ef5" /><Relationship Type="http://schemas.openxmlformats.org/officeDocument/2006/relationships/worksheet" Target="/xl/worksheets/sheet7.xml" Id="R290c279b8f6f4488" /><Relationship Type="http://schemas.openxmlformats.org/officeDocument/2006/relationships/worksheet" Target="/xl/worksheets/sheet8.xml" Id="R7d408bbb6c9647cd" /><Relationship Type="http://schemas.openxmlformats.org/officeDocument/2006/relationships/worksheet" Target="/xl/worksheets/sheet9.xml" Id="R2f0454cea4d94838" /><Relationship Type="http://schemas.openxmlformats.org/officeDocument/2006/relationships/worksheet" Target="/xl/worksheets/sheet10.xml" Id="Rfe0517badb9642da" /><Relationship Type="http://schemas.openxmlformats.org/officeDocument/2006/relationships/worksheet" Target="/xl/worksheets/sheet11.xml" Id="Reb9970d8ba7c4b48" /><Relationship Type="http://schemas.openxmlformats.org/officeDocument/2006/relationships/worksheet" Target="/xl/worksheets/sheet12.xml" Id="R3fb1b967e9ad4029" /><Relationship Type="http://schemas.openxmlformats.org/officeDocument/2006/relationships/worksheet" Target="/xl/worksheets/sheet13.xml" Id="R3b8b4fcd15f2457b" /><Relationship Type="http://schemas.openxmlformats.org/officeDocument/2006/relationships/worksheet" Target="/xl/worksheets/sheet14.xml" Id="R4eac8272f87c40cd" /><Relationship Type="http://schemas.openxmlformats.org/officeDocument/2006/relationships/worksheet" Target="/xl/worksheets/sheet15.xml" Id="Rb14677be04124119" /><Relationship Type="http://schemas.openxmlformats.org/officeDocument/2006/relationships/worksheet" Target="/xl/worksheets/sheet16.xml" Id="Rd1480aae29cb4580" /><Relationship Type="http://schemas.openxmlformats.org/officeDocument/2006/relationships/worksheet" Target="/xl/worksheets/sheet17.xml" Id="Rdd591bd9692b4562" /><Relationship Type="http://schemas.openxmlformats.org/officeDocument/2006/relationships/worksheet" Target="/xl/worksheets/sheet18.xml" Id="Re7b685e319954267" /><Relationship Type="http://schemas.openxmlformats.org/officeDocument/2006/relationships/worksheet" Target="/xl/worksheets/sheet19.xml" Id="R97d5352c448c490e" /><Relationship Type="http://schemas.openxmlformats.org/officeDocument/2006/relationships/worksheet" Target="/xl/worksheets/sheet20.xml" Id="Rbd224479dad04752" /><Relationship Type="http://schemas.openxmlformats.org/officeDocument/2006/relationships/worksheet" Target="/xl/worksheets/sheet21.xml" Id="R6accfe94133b47c7" /><Relationship Type="http://schemas.openxmlformats.org/officeDocument/2006/relationships/worksheet" Target="/xl/worksheets/sheet22.xml" Id="Rca0c844abca7425a" /><Relationship Type="http://schemas.openxmlformats.org/officeDocument/2006/relationships/worksheet" Target="/xl/worksheets/sheet23.xml" Id="R829f59036be04e0f" /></Relationships>
</file>

<file path=xl/tables/table1.xml><?xml version="1.0" encoding="utf-8"?>
<x:table xmlns:x="http://schemas.openxmlformats.org/spreadsheetml/2006/main" id="1" name="MenuTable1" displayName="MenuTable1" ref="A5:H18" headerRowCount="1" totalsRowCount="0" totalsRowShown="0">
  <x:tableColumns count="8">
    <x:tableColumn id="1" name="Urut"/>
    <x:tableColumn id="2" name="Menu utama"/>
    <x:tableColumn id="3" name="Tujuan"/>
    <x:tableColumn id="4" name="Tab aplikasi"/>
    <x:tableColumn id="5" name="Pengguna utama"/>
    <x:tableColumn id="6" name="Sheet detail"/>
    <x:tableColumn id="7" name="Keputusan review"/>
    <x:tableColumn id="8" name="Catatan re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nuTable2" displayName="MenuTable2" ref="A14:H16" headerRowCount="1" totalsRowCount="0" totalsRowShown="0">
  <x:tableColumns count="8">
    <x:tableColumn id="1" name="Prioritas"/>
    <x:tableColumn id="2" name="Pekerjaan"/>
    <x:tableColumn id="3" name="Unit"/>
    <x:tableColumn id="4" name="Referensi"/>
    <x:tableColumn id="5" name="Nilai Rp"/>
    <x:tableColumn id="6" name="Batas waktu"/>
    <x:tableColumn id="7" name="Penanggung jawab"/>
    <x:tableColumn id="8" name="Aks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nuTable3" displayName="MenuTable3" ref="A28:H29" headerRowCount="1" totalsRowCount="0" totalsRowShown="0">
  <x:tableColumns count="8">
    <x:tableColumn id="1" name="Dokumen"/>
    <x:tableColumn id="2" name="Jenis"/>
    <x:tableColumn id="3" name="Unit"/>
    <x:tableColumn id="4" name="Pengaju"/>
    <x:tableColumn id="5" name="Nilai Rp"/>
    <x:tableColumn id="6" name="Diajukan"/>
    <x:tableColumn id="7" name="Tahap"/>
    <x:tableColumn id="8" name="Aks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nuTable4" displayName="MenuTable4" ref="A41:H42" headerRowCount="1" totalsRowCount="0" totalsRowShown="0">
  <x:tableColumns count="8">
    <x:tableColumn id="1" name="Kasus"/>
    <x:tableColumn id="2" name="Jenis masalah"/>
    <x:tableColumn id="3" name="Unit"/>
    <x:tableColumn id="4" name="Referensi"/>
    <x:tableColumn id="5" name="Ditemukan"/>
    <x:tableColumn id="6" name="Penanggung jawab"/>
    <x:tableColumn id="7" name="Status"/>
    <x:tableColumn id="8" name="Aks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94" name="FinanceUX34" displayName="FinanceUX34" ref="A52:F55" headerRowCount="1" totalsRowCount="0" totalsRowShown="0">
  <x:tableColumns count="6">
    <x:tableColumn id="1" name="Tab"/>
    <x:tableColumn id="2" name="Sidebar detail"/>
    <x:tableColumn id="3" name="Tombol"/>
    <x:tableColumn id="4" name="Form"/>
    <x:tableColumn id="5" name="Tabel anak"/>
    <x:tableColumn id="6" name="Bentuk laya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MenuTable5" displayName="MenuTable5" ref="A14:H16" headerRowCount="1" totalsRowCount="0" totalsRowShown="0">
  <x:tableColumns count="8">
    <x:tableColumn id="1" name="Rekening"/>
    <x:tableColumn id="2" name="Unit"/>
    <x:tableColumn id="3" name="Jenis"/>
    <x:tableColumn id="4" name="Mata uang"/>
    <x:tableColumn id="5" name="Saldo buku Rp"/>
    <x:tableColumn id="6" name="Saldo bank Rp"/>
    <x:tableColumn id="7" name="Tanggal bank"/>
    <x:tableColumn id="8" name="Aksi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MenuTable6" displayName="MenuTable6" ref="A28:H30" headerRowCount="1" totalsRowCount="0" totalsRowShown="0">
  <x:tableColumns count="8">
    <x:tableColumn id="1" name="ID pembayaran"/>
    <x:tableColumn id="2" name="Tanggal"/>
    <x:tableColumn id="3" name="Unit"/>
    <x:tableColumn id="4" name="Arah"/>
    <x:tableColumn id="5" name="Pihak"/>
    <x:tableColumn id="6" name="Nilai Rp"/>
    <x:tableColumn id="7" name="Status"/>
    <x:tableColumn id="8" name="Dokumen sumb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MenuTable7" displayName="MenuTable7" ref="A42:H43" headerRowCount="1" totalsRowCount="0" totalsRowShown="0">
  <x:tableColumns count="8">
    <x:tableColumn id="1" name="Transfer"/>
    <x:tableColumn id="2" name="Tanggal"/>
    <x:tableColumn id="3" name="Dari"/>
    <x:tableColumn id="4" name="Ke"/>
    <x:tableColumn id="5" name="Nilai Rp"/>
    <x:tableColumn id="6" name="Biaya Rp"/>
    <x:tableColumn id="7" name="Status"/>
    <x:tableColumn id="8" name="Aksi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MenuTable8" displayName="MenuTable8" ref="A55:H56" headerRowCount="1" totalsRowCount="0" totalsRowShown="0">
  <x:tableColumns count="8">
    <x:tableColumn id="1" name="Giro"/>
    <x:tableColumn id="2" name="Bank"/>
    <x:tableColumn id="3" name="Unit"/>
    <x:tableColumn id="4" name="Penerima"/>
    <x:tableColumn id="5" name="Nilai Rp"/>
    <x:tableColumn id="6" name="Jatuh tempo"/>
    <x:tableColumn id="7" name="Status"/>
    <x:tableColumn id="8" name="Sumbe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MenuTable9" displayName="MenuTable9" ref="A68:H70" headerRowCount="1" totalsRowCount="0" totalsRowShown="0">
  <x:tableColumns count="8">
    <x:tableColumn id="1" name="Baris bank"/>
    <x:tableColumn id="2" name="Tanggal"/>
    <x:tableColumn id="3" name="Rekening"/>
    <x:tableColumn id="4" name="Uraian"/>
    <x:tableColumn id="5" name="Nilai Rp"/>
    <x:tableColumn id="6" name="Pasangan buku"/>
    <x:tableColumn id="7" name="Status"/>
    <x:tableColumn id="8" name="Aksi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95" name="FinanceUX35" displayName="FinanceUX35" ref="A80:F85" headerRowCount="1" totalsRowCount="0" totalsRowShown="0">
  <x:tableColumns count="6">
    <x:tableColumn id="1" name="Tab"/>
    <x:tableColumn id="2" name="Sidebar detail"/>
    <x:tableColumn id="3" name="Tombol"/>
    <x:tableColumn id="4" name="Form"/>
    <x:tableColumn id="5" name="Tabel anak"/>
    <x:tableColumn id="6" name="Bentuk laya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0" name="MenuTable10" displayName="MenuTable10" ref="A14:H16" headerRowCount="1" totalsRowCount="0" totalsRowShown="0">
  <x:tableColumns count="8">
    <x:tableColumn id="1" name="Tagihan"/>
    <x:tableColumn id="2" name="Vendor"/>
    <x:tableColumn id="3" name="Unit"/>
    <x:tableColumn id="4" name="Tanggal"/>
    <x:tableColumn id="5" name="Jatuh tempo"/>
    <x:tableColumn id="6" name="Total Rp"/>
    <x:tableColumn id="7" name="Sisa Rp"/>
    <x:tableColumn id="8" name="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1" name="MenuTable11" displayName="MenuTable11" ref="A28:H29" headerRowCount="1" totalsRowCount="0" totalsRowShown="0">
  <x:tableColumns count="8">
    <x:tableColumn id="1" name="Klaim"/>
    <x:tableColumn id="2" name="Pengaju"/>
    <x:tableColumn id="3" name="Unit"/>
    <x:tableColumn id="4" name="Keperluan"/>
    <x:tableColumn id="5" name="Nilai Rp"/>
    <x:tableColumn id="6" name="Tanggal"/>
    <x:tableColumn id="7" name="Status"/>
    <x:tableColumn id="8" name="Aksi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2" name="MenuTable12" displayName="MenuTable12" ref="A41:H42" headerRowCount="1" totalsRowCount="0" totalsRowShown="0">
  <x:tableColumns count="8">
    <x:tableColumn id="1" name="Uang muka"/>
    <x:tableColumn id="2" name="Pemegang"/>
    <x:tableColumn id="3" name="Unit"/>
    <x:tableColumn id="4" name="Tujuan"/>
    <x:tableColumn id="5" name="Diberikan Rp"/>
    <x:tableColumn id="6" name="Dipertanggungjawabkan Rp"/>
    <x:tableColumn id="7" name="Sisa Rp"/>
    <x:tableColumn id="8" name="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3" name="MenuTable13" displayName="MenuTable13" ref="A54:H55" headerRowCount="1" totalsRowCount="0" totalsRowShown="0">
  <x:tableColumns count="8">
    <x:tableColumn id="1" name="Jadwal"/>
    <x:tableColumn id="2" name="Jenis"/>
    <x:tableColumn id="3" name="Unit"/>
    <x:tableColumn id="4" name="Mulai"/>
    <x:tableColumn id="5" name="Akhir"/>
    <x:tableColumn id="6" name="Nilai awal Rp"/>
    <x:tableColumn id="7" name="Saldo Rp"/>
    <x:tableColumn id="8" name="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96" name="FinanceUX36" displayName="FinanceUX36" ref="A65:F69" headerRowCount="1" totalsRowCount="0" totalsRowShown="0">
  <x:tableColumns count="6">
    <x:tableColumn id="1" name="Tab"/>
    <x:tableColumn id="2" name="Sidebar detail"/>
    <x:tableColumn id="3" name="Tombol"/>
    <x:tableColumn id="4" name="Form"/>
    <x:tableColumn id="5" name="Tabel anak"/>
    <x:tableColumn id="6" name="Bentuk layar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4" name="MenuTable14" displayName="MenuTable14" ref="A14:H15" headerRowCount="1" totalsRowCount="0" totalsRowShown="0">
  <x:tableColumns count="8">
    <x:tableColumn id="1" name="Sumber penjualan"/>
    <x:tableColumn id="2" name="Tanggal"/>
    <x:tableColumn id="3" name="Unit"/>
    <x:tableColumn id="4" name="Kanal"/>
    <x:tableColumn id="5" name="Bruto Rp"/>
    <x:tableColumn id="6" name="Potongan Rp"/>
    <x:tableColumn id="7" name="Neto Rp"/>
    <x:tableColumn id="8" name="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5" name="MenuTable15" displayName="MenuTable15" ref="A27:H28" headerRowCount="1" totalsRowCount="0" totalsRowShown="0">
  <x:tableColumns count="8">
    <x:tableColumn id="1" name="Invoice"/>
    <x:tableColumn id="2" name="Pelanggan"/>
    <x:tableColumn id="3" name="Unit"/>
    <x:tableColumn id="4" name="Jenis"/>
    <x:tableColumn id="5" name="Jatuh tempo"/>
    <x:tableColumn id="6" name="Total Rp"/>
    <x:tableColumn id="7" name="Sisa Rp"/>
    <x:tableColumn id="8" name="Statu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6" name="MenuTable16" displayName="MenuTable16" ref="A40:H41" headerRowCount="1" totalsRowCount="0" totalsRowShown="0">
  <x:tableColumns count="8">
    <x:tableColumn id="1" name="Settlement"/>
    <x:tableColumn id="2" name="Kanal"/>
    <x:tableColumn id="3" name="Unit"/>
    <x:tableColumn id="4" name="Bruto Rp"/>
    <x:tableColumn id="5" name="Biaya Rp"/>
    <x:tableColumn id="6" name="Neto Rp"/>
    <x:tableColumn id="7" name="Diterima Rp"/>
    <x:tableColumn id="8" name="Statu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7" name="MenuTable17" displayName="MenuTable17" ref="A53:H54" headerRowCount="1" totalsRowCount="0" totalsRowShown="0">
  <x:tableColumns count="8">
    <x:tableColumn id="1" name="Dokumen"/>
    <x:tableColumn id="2" name="Pelanggan"/>
    <x:tableColumn id="3" name="Unit"/>
    <x:tableColumn id="4" name="Jenis"/>
    <x:tableColumn id="5" name="Nilai Rp"/>
    <x:tableColumn id="6" name="Dialokasikan Rp"/>
    <x:tableColumn id="7" name="Status"/>
    <x:tableColumn id="8" name="Sumber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97" name="FinanceUX37" displayName="FinanceUX37" ref="A64:F68" headerRowCount="1" totalsRowCount="0" totalsRowShown="0">
  <x:tableColumns count="6">
    <x:tableColumn id="1" name="Tab"/>
    <x:tableColumn id="2" name="Sidebar detail"/>
    <x:tableColumn id="3" name="Tombol"/>
    <x:tableColumn id="4" name="Form"/>
    <x:tableColumn id="5" name="Tabel anak"/>
    <x:tableColumn id="6" name="Bentuk layar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18" name="MenuTable18" displayName="MenuTable18" ref="A14:H15" headerRowCount="1" totalsRowCount="0" totalsRowShown="0">
  <x:tableColumns count="8">
    <x:tableColumn id="1" name="Barang/kelompok"/>
    <x:tableColumn id="2" name="Unit"/>
    <x:tableColumn id="3" name="Satuan"/>
    <x:tableColumn id="4" name="Kuantitas"/>
    <x:tableColumn id="5" name="Nilai Rp"/>
    <x:tableColumn id="6" name="Tanggal posisi"/>
    <x:tableColumn id="7" name="Status"/>
    <x:tableColumn id="8" name="Aksi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19" name="MenuTable19" displayName="MenuTable19" ref="A27:H28" headerRowCount="1" totalsRowCount="0" totalsRowShown="0">
  <x:tableColumns count="8">
    <x:tableColumn id="1" name="Dokumen"/>
    <x:tableColumn id="2" name="Tanggal"/>
    <x:tableColumn id="3" name="Unit"/>
    <x:tableColumn id="4" name="Jenis"/>
    <x:tableColumn id="5" name="Barang"/>
    <x:tableColumn id="6" name="Kuantitas"/>
    <x:tableColumn id="7" name="Nilai Rp"/>
    <x:tableColumn id="8" name="Statu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0" name="MenuTable20" displayName="MenuTable20" ref="A40:H41" headerRowCount="1" totalsRowCount="0" totalsRowShown="0">
  <x:tableColumns count="8">
    <x:tableColumn id="1" name="Pengiriman"/>
    <x:tableColumn id="2" name="Dari"/>
    <x:tableColumn id="3" name="Ke"/>
    <x:tableColumn id="4" name="Tanggal kirim"/>
    <x:tableColumn id="5" name="Nilai Rp"/>
    <x:tableColumn id="6" name="Diterima Rp"/>
    <x:tableColumn id="7" name="Status"/>
    <x:tableColumn id="8" name="Aksi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1" name="MenuTable21" displayName="MenuTable21" ref="A53:H54" headerRowCount="1" totalsRowCount="0" totalsRowShown="0">
  <x:tableColumns count="8">
    <x:tableColumn id="1" name="Opname"/>
    <x:tableColumn id="2" name="Unit"/>
    <x:tableColumn id="3" name="Barang"/>
    <x:tableColumn id="4" name="Buku qty"/>
    <x:tableColumn id="5" name="Fisik qty"/>
    <x:tableColumn id="6" name="Selisih qty"/>
    <x:tableColumn id="7" name="Dampak Rp"/>
    <x:tableColumn id="8" name="Statu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98" name="FinanceUX38" displayName="FinanceUX38" ref="A64:F68" headerRowCount="1" totalsRowCount="0" totalsRowShown="0">
  <x:tableColumns count="6">
    <x:tableColumn id="1" name="Tab"/>
    <x:tableColumn id="2" name="Sidebar detail"/>
    <x:tableColumn id="3" name="Tombol"/>
    <x:tableColumn id="4" name="Form"/>
    <x:tableColumn id="5" name="Tabel anak"/>
    <x:tableColumn id="6" name="Bentuk layar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2" name="MenuTable22" displayName="MenuTable22" ref="A14:H15" headerRowCount="1" totalsRowCount="0" totalsRowShown="0">
  <x:tableColumns count="8">
    <x:tableColumn id="1" name="Pasangan"/>
    <x:tableColumn id="2" name="Unit"/>
    <x:tableColumn id="3" name="Lawan"/>
    <x:tableColumn id="4" name="Jenis hubungan"/>
    <x:tableColumn id="5" name="Saldo unit Rp"/>
    <x:tableColumn id="6" name="Saldo lawan Rp"/>
    <x:tableColumn id="7" name="Selisih Rp"/>
    <x:tableColumn id="8" name="Status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3" name="MenuTable23" displayName="MenuTable23" ref="A27:H28" headerRowCount="1" totalsRowCount="0" totalsRowShown="0">
  <x:tableColumns count="8">
    <x:tableColumn id="1" name="Transaksi"/>
    <x:tableColumn id="2" name="Tanggal"/>
    <x:tableColumn id="3" name="Dari"/>
    <x:tableColumn id="4" name="Ke"/>
    <x:tableColumn id="5" name="Jenis"/>
    <x:tableColumn id="6" name="Nilai Rp"/>
    <x:tableColumn id="7" name="Sumber"/>
    <x:tableColumn id="8" name="Status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4" name="MenuTable24" displayName="MenuTable24" ref="A40:H41" headerRowCount="1" totalsRowCount="0" totalsRowShown="0">
  <x:tableColumns count="8">
    <x:tableColumn id="1" name="Penyelesaian"/>
    <x:tableColumn id="2" name="Pembayar"/>
    <x:tableColumn id="3" name="Penerima"/>
    <x:tableColumn id="4" name="Jenis saldo"/>
    <x:tableColumn id="5" name="Nilai Rp"/>
    <x:tableColumn id="6" name="Pembayaran"/>
    <x:tableColumn id="7" name="Tanggal"/>
    <x:tableColumn id="8" name="Status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5" name="MenuTable25" displayName="MenuTable25" ref="A53:H54" headerRowCount="1" totalsRowCount="0" totalsRowShown="0">
  <x:tableColumns count="8">
    <x:tableColumn id="1" name="Kasus"/>
    <x:tableColumn id="2" name="Unit"/>
    <x:tableColumn id="3" name="Lawan"/>
    <x:tableColumn id="4" name="Periode"/>
    <x:tableColumn id="5" name="Dokumen"/>
    <x:tableColumn id="6" name="Selisih Rp"/>
    <x:tableColumn id="7" name="Penyebab"/>
    <x:tableColumn id="8" name="Status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99" name="FinanceUX39" displayName="FinanceUX39" ref="A64:F68" headerRowCount="1" totalsRowCount="0" totalsRowShown="0">
  <x:tableColumns count="6">
    <x:tableColumn id="1" name="Tab"/>
    <x:tableColumn id="2" name="Sidebar detail"/>
    <x:tableColumn id="3" name="Tombol"/>
    <x:tableColumn id="4" name="Form"/>
    <x:tableColumn id="5" name="Tabel anak"/>
    <x:tableColumn id="6" name="Bentuk layar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26" name="MenuTable26" displayName="MenuTable26" ref="A14:H15" headerRowCount="1" totalsRowCount="0" totalsRowShown="0">
  <x:tableColumns count="8">
    <x:tableColumn id="1" name="Aset"/>
    <x:tableColumn id="2" name="Nama"/>
    <x:tableColumn id="3" name="Unit"/>
    <x:tableColumn id="4" name="Kelas"/>
    <x:tableColumn id="5" name="Perolehan Rp"/>
    <x:tableColumn id="6" name="Akumulasi Rp"/>
    <x:tableColumn id="7" name="Nilai buku Rp"/>
    <x:tableColumn id="8" name="Status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27" name="MenuTable27" displayName="MenuTable27" ref="A27:H28" headerRowCount="1" totalsRowCount="0" totalsRowShown="0">
  <x:tableColumns count="8">
    <x:tableColumn id="1" name="Proyek"/>
    <x:tableColumn id="2" name="Unit"/>
    <x:tableColumn id="3" name="Penanggung jawab"/>
    <x:tableColumn id="4" name="Mulai"/>
    <x:tableColumn id="5" name="Biaya Rp"/>
    <x:tableColumn id="6" name="Dikapitalisasi Rp"/>
    <x:tableColumn id="7" name="Sisa Rp"/>
    <x:tableColumn id="8" name="Status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28" name="MenuTable28" displayName="MenuTable28" ref="A40:H41" headerRowCount="1" totalsRowCount="0" totalsRowShown="0">
  <x:tableColumns count="8">
    <x:tableColumn id="1" name="Aset/jadwal"/>
    <x:tableColumn id="2" name="Unit"/>
    <x:tableColumn id="3" name="Periode"/>
    <x:tableColumn id="4" name="Dasar Rp"/>
    <x:tableColumn id="5" name="Beban periode Rp"/>
    <x:tableColumn id="6" name="Sisa Rp"/>
    <x:tableColumn id="7" name="Status"/>
    <x:tableColumn id="8" name="Aksi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29" name="MenuTable29" displayName="MenuTable29" ref="A53:H54" headerRowCount="1" totalsRowCount="0" totalsRowShown="0">
  <x:tableColumns count="8">
    <x:tableColumn id="1" name="Dokumen"/>
    <x:tableColumn id="2" name="Aset"/>
    <x:tableColumn id="3" name="Jenis"/>
    <x:tableColumn id="4" name="Dari"/>
    <x:tableColumn id="5" name="Ke/pihak"/>
    <x:tableColumn id="6" name="Nilai buku Rp"/>
    <x:tableColumn id="7" name="Tanggal"/>
    <x:tableColumn id="8" name="Status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100" name="FinanceUX40" displayName="FinanceUX40" ref="A64:F68" headerRowCount="1" totalsRowCount="0" totalsRowShown="0">
  <x:tableColumns count="6">
    <x:tableColumn id="1" name="Tab"/>
    <x:tableColumn id="2" name="Sidebar detail"/>
    <x:tableColumn id="3" name="Tombol"/>
    <x:tableColumn id="4" name="Form"/>
    <x:tableColumn id="5" name="Tabel anak"/>
    <x:tableColumn id="6" name="Bentuk layar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0" name="MenuTable30" displayName="MenuTable30" ref="A14:H15" headerRowCount="1" totalsRowCount="0" totalsRowShown="0">
  <x:tableColumns count="8">
    <x:tableColumn id="1" name="Batch"/>
    <x:tableColumn id="2" name="Periode"/>
    <x:tableColumn id="3" name="Unit"/>
    <x:tableColumn id="4" name="Pegawai"/>
    <x:tableColumn id="5" name="Bruto Rp"/>
    <x:tableColumn id="6" name="Potongan Rp"/>
    <x:tableColumn id="7" name="Neto Rp"/>
    <x:tableColumn id="8" name="Status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1" name="MenuTable31" displayName="MenuTable31" ref="A27:H28" headerRowCount="1" totalsRowCount="0" totalsRowShown="0">
  <x:tableColumns count="8">
    <x:tableColumn id="1" name="Kewajiban"/>
    <x:tableColumn id="2" name="Batch"/>
    <x:tableColumn id="3" name="Unit"/>
    <x:tableColumn id="4" name="Penerima"/>
    <x:tableColumn id="5" name="Nilai Rp"/>
    <x:tableColumn id="6" name="Dibayar Rp"/>
    <x:tableColumn id="7" name="Sisa Rp"/>
    <x:tableColumn id="8" name="Status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2" name="MenuTable32" displayName="MenuTable32" ref="A40:H41" headerRowCount="1" totalsRowCount="0" totalsRowShown="0">
  <x:tableColumns count="8">
    <x:tableColumn id="1" name="Pinjaman"/>
    <x:tableColumn id="2" name="Pegawai"/>
    <x:tableColumn id="3" name="Unit"/>
    <x:tableColumn id="4" name="Pokok Rp"/>
    <x:tableColumn id="5" name="Dilunasi Rp"/>
    <x:tableColumn id="6" name="Sisa Rp"/>
    <x:tableColumn id="7" name="Cara pelunasan"/>
    <x:tableColumn id="8" name="Status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33" name="MenuTable33" displayName="MenuTable33" ref="A53:H54" headerRowCount="1" totalsRowCount="0" totalsRowShown="0">
  <x:tableColumns count="8">
    <x:tableColumn id="1" name="Batch"/>
    <x:tableColumn id="2" name="Unit"/>
    <x:tableColumn id="3" name="Neto Rp"/>
    <x:tableColumn id="4" name="Kewajiban tercatat Rp"/>
    <x:tableColumn id="5" name="Dibayar Rp"/>
    <x:tableColumn id="6" name="Belum dibayar Rp"/>
    <x:tableColumn id="7" name="Status"/>
    <x:tableColumn id="8" name="Aksi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101" name="FinanceUX41" displayName="FinanceUX41" ref="A64:F68" headerRowCount="1" totalsRowCount="0" totalsRowShown="0">
  <x:tableColumns count="6">
    <x:tableColumn id="1" name="Tab"/>
    <x:tableColumn id="2" name="Sidebar detail"/>
    <x:tableColumn id="3" name="Tombol"/>
    <x:tableColumn id="4" name="Form"/>
    <x:tableColumn id="5" name="Tabel anak"/>
    <x:tableColumn id="6" name="Bentuk layar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34" name="MenuTable34" displayName="MenuTable34" ref="A14:H15" headerRowCount="1" totalsRowCount="0" totalsRowShown="0">
  <x:tableColumns count="8">
    <x:tableColumn id="1" name="Kewajiban"/>
    <x:tableColumn id="2" name="Jenis"/>
    <x:tableColumn id="3" name="Masa"/>
    <x:tableColumn id="4" name="Unit"/>
    <x:tableColumn id="5" name="Terutang Rp"/>
    <x:tableColumn id="6" name="Dibayar Rp"/>
    <x:tableColumn id="7" name="Sisa Rp"/>
    <x:tableColumn id="8" name="Status bayar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35" name="MenuTable35" displayName="MenuTable35" ref="A27:H28" headerRowCount="1" totalsRowCount="0" totalsRowShown="0">
  <x:tableColumns count="8">
    <x:tableColumn id="1" name="Dokumen"/>
    <x:tableColumn id="2" name="Jenis"/>
    <x:tableColumn id="3" name="Nomor referensi"/>
    <x:tableColumn id="4" name="Tanggal"/>
    <x:tableColumn id="5" name="Pihak"/>
    <x:tableColumn id="6" name="Nilai pajak Rp"/>
    <x:tableColumn id="7" name="Sumber"/>
    <x:tableColumn id="8" name="Status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36" name="MenuTable36" displayName="MenuTable36" ref="A40:H41" headerRowCount="1" totalsRowCount="0" totalsRowShown="0">
  <x:tableColumns count="8">
    <x:tableColumn id="1" name="Pembayaran"/>
    <x:tableColumn id="2" name="Kewajiban"/>
    <x:tableColumn id="3" name="Jenis"/>
    <x:tableColumn id="4" name="Masa"/>
    <x:tableColumn id="5" name="Nilai Rp"/>
    <x:tableColumn id="6" name="Tanggal bayar"/>
    <x:tableColumn id="7" name="Bukti bayar"/>
    <x:tableColumn id="8" name="Status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37" name="MenuTable37" displayName="MenuTable37" ref="A53:H54" headerRowCount="1" totalsRowCount="0" totalsRowShown="0">
  <x:tableColumns count="8">
    <x:tableColumn id="1" name="Pelaporan"/>
    <x:tableColumn id="2" name="Jenis"/>
    <x:tableColumn id="3" name="Masa"/>
    <x:tableColumn id="4" name="Unit"/>
    <x:tableColumn id="5" name="Tanggal lapor"/>
    <x:tableColumn id="6" name="Referensi tanda terima"/>
    <x:tableColumn id="7" name="Status lapor"/>
    <x:tableColumn id="8" name="Aksi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102" name="FinanceUX42" displayName="FinanceUX42" ref="A64:F68" headerRowCount="1" totalsRowCount="0" totalsRowShown="0">
  <x:tableColumns count="6">
    <x:tableColumn id="1" name="Tab"/>
    <x:tableColumn id="2" name="Sidebar detail"/>
    <x:tableColumn id="3" name="Tombol"/>
    <x:tableColumn id="4" name="Form"/>
    <x:tableColumn id="5" name="Tabel anak"/>
    <x:tableColumn id="6" name="Bentuk layar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38" name="MenuTable38" displayName="MenuTable38" ref="A14:H15" headerRowCount="1" totalsRowCount="0" totalsRowShown="0">
  <x:tableColumns count="8">
    <x:tableColumn id="1" name="Pinjaman"/>
    <x:tableColumn id="2" name="Pemberi dana"/>
    <x:tableColumn id="3" name="Unit"/>
    <x:tableColumn id="4" name="Jenis"/>
    <x:tableColumn id="5" name="Pokok awal Rp"/>
    <x:tableColumn id="6" name="Pokok tersisa Rp"/>
    <x:tableColumn id="7" name="Jatuh tempo"/>
    <x:tableColumn id="8" name="Status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39" name="MenuTable39" displayName="MenuTable39" ref="A27:H28" headerRowCount="1" totalsRowCount="0" totalsRowShown="0">
  <x:tableColumns count="8">
    <x:tableColumn id="1" name="Angsuran"/>
    <x:tableColumn id="2" name="Pinjaman"/>
    <x:tableColumn id="3" name="Jatuh tempo"/>
    <x:tableColumn id="4" name="Pokok Rp"/>
    <x:tableColumn id="5" name="Bunga Rp"/>
    <x:tableColumn id="6" name="Biaya Rp"/>
    <x:tableColumn id="7" name="Total Rp"/>
    <x:tableColumn id="8" name="Status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40" name="MenuTable40" displayName="MenuTable40" ref="A40:H41" headerRowCount="1" totalsRowCount="0" totalsRowShown="0">
  <x:tableColumns count="8">
    <x:tableColumn id="1" name="Transaksi"/>
    <x:tableColumn id="2" name="Pemilik"/>
    <x:tableColumn id="3" name="Unit"/>
    <x:tableColumn id="4" name="Jenis"/>
    <x:tableColumn id="5" name="Tanggal"/>
    <x:tableColumn id="6" name="Nilai Rp"/>
    <x:tableColumn id="7" name="Referensi kas"/>
    <x:tableColumn id="8" name="Status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41" name="MenuTable41" displayName="MenuTable41" ref="A53:H54" headerRowCount="1" totalsRowCount="0" totalsRowShown="0">
  <x:tableColumns count="8">
    <x:tableColumn id="1" name="Unit"/>
    <x:tableColumn id="2" name="Periode"/>
    <x:tableColumn id="3" name="Saldo awal Rp"/>
    <x:tableColumn id="4" name="Setoran Rp"/>
    <x:tableColumn id="5" name="Distribusi Rp"/>
    <x:tableColumn id="6" name="Hasil periode Rp"/>
    <x:tableColumn id="7" name="Saldo akhir Rp"/>
    <x:tableColumn id="8" name="Aksi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103" name="FinanceUX43" displayName="FinanceUX43" ref="A64:F68" headerRowCount="1" totalsRowCount="0" totalsRowShown="0">
  <x:tableColumns count="6">
    <x:tableColumn id="1" name="Tab"/>
    <x:tableColumn id="2" name="Sidebar detail"/>
    <x:tableColumn id="3" name="Tombol"/>
    <x:tableColumn id="4" name="Form"/>
    <x:tableColumn id="5" name="Tabel anak"/>
    <x:tableColumn id="6" name="Bentuk layar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42" name="MenuTable42" displayName="MenuTable42" ref="A14:H15" headerRowCount="1" totalsRowCount="0" totalsRowShown="0">
  <x:tableColumns count="8">
    <x:tableColumn id="1" name="Jurnal"/>
    <x:tableColumn id="2" name="Tanggal"/>
    <x:tableColumn id="3" name="Unit"/>
    <x:tableColumn id="4" name="Sumber"/>
    <x:tableColumn id="5" name="Debit Rp"/>
    <x:tableColumn id="6" name="Kredit Rp"/>
    <x:tableColumn id="7" name="Status"/>
    <x:tableColumn id="8" name="Aksi"/>
  </x:tableColumns>
  <x:tableStyleInfo name="TableStyleMedium2" showFirstColumn="0" showLastColumn="0" showRowStripes="1" showColumnStripes="0"/>
</x:table>
</file>

<file path=xl/tables/table53.xml><?xml version="1.0" encoding="utf-8"?>
<x:table xmlns:x="http://schemas.openxmlformats.org/spreadsheetml/2006/main" id="43" name="MenuTable43" displayName="MenuTable43" ref="A27:H28" headerRowCount="1" totalsRowCount="0" totalsRowShown="0">
  <x:tableColumns count="8">
    <x:tableColumn id="1" name="Jadwal"/>
    <x:tableColumn id="2" name="Jenis"/>
    <x:tableColumn id="3" name="Unit"/>
    <x:tableColumn id="4" name="Periode"/>
    <x:tableColumn id="5" name="Nilai Rp"/>
    <x:tableColumn id="6" name="Sumber"/>
    <x:tableColumn id="7" name="Status"/>
    <x:tableColumn id="8" name="Aksi"/>
  </x:tableColumns>
  <x:tableStyleInfo name="TableStyleMedium2" showFirstColumn="0" showLastColumn="0" showRowStripes="1" showColumnStripes="0"/>
</x:table>
</file>

<file path=xl/tables/table54.xml><?xml version="1.0" encoding="utf-8"?>
<x:table xmlns:x="http://schemas.openxmlformats.org/spreadsheetml/2006/main" id="44" name="MenuTable44" displayName="MenuTable44" ref="A40:H41" headerRowCount="1" totalsRowCount="0" totalsRowShown="0">
  <x:tableColumns count="8">
    <x:tableColumn id="1" name="Rekonsiliasi"/>
    <x:tableColumn id="2" name="Kelompok"/>
    <x:tableColumn id="3" name="Unit"/>
    <x:tableColumn id="4" name="Periode"/>
    <x:tableColumn id="5" name="GL Rp"/>
    <x:tableColumn id="6" name="Rincian Rp"/>
    <x:tableColumn id="7" name="Selisih Rp"/>
    <x:tableColumn id="8" name="Status"/>
  </x:tableColumns>
  <x:tableStyleInfo name="TableStyleMedium2" showFirstColumn="0" showLastColumn="0" showRowStripes="1" showColumnStripes="0"/>
</x:table>
</file>

<file path=xl/tables/table55.xml><?xml version="1.0" encoding="utf-8"?>
<x:table xmlns:x="http://schemas.openxmlformats.org/spreadsheetml/2006/main" id="45" name="MenuTable45" displayName="MenuTable45" ref="A53:H54" headerRowCount="1" totalsRowCount="0" totalsRowShown="0">
  <x:tableColumns count="8">
    <x:tableColumn id="1" name="Periode"/>
    <x:tableColumn id="2" name="Unit"/>
    <x:tableColumn id="3" name="Langkah"/>
    <x:tableColumn id="4" name="Pemilik"/>
    <x:tableColumn id="5" name="Tenggat"/>
    <x:tableColumn id="6" name="Status"/>
    <x:tableColumn id="7" name="Bukti"/>
    <x:tableColumn id="8" name="Aksi"/>
  </x:tableColumns>
  <x:tableStyleInfo name="TableStyleMedium2" showFirstColumn="0" showLastColumn="0" showRowStripes="1" showColumnStripes="0"/>
</x:table>
</file>

<file path=xl/tables/table56.xml><?xml version="1.0" encoding="utf-8"?>
<x:table xmlns:x="http://schemas.openxmlformats.org/spreadsheetml/2006/main" id="104" name="FinanceUX44" displayName="FinanceUX44" ref="A64:F68" headerRowCount="1" totalsRowCount="0" totalsRowShown="0">
  <x:tableColumns count="6">
    <x:tableColumn id="1" name="Tab"/>
    <x:tableColumn id="2" name="Sidebar detail"/>
    <x:tableColumn id="3" name="Tombol"/>
    <x:tableColumn id="4" name="Form"/>
    <x:tableColumn id="5" name="Tabel anak"/>
    <x:tableColumn id="6" name="Bentuk layar"/>
  </x:tableColumns>
  <x:tableStyleInfo name="TableStyleMedium2" showFirstColumn="0" showLastColumn="0" showRowStripes="1" showColumnStripes="0"/>
</x:table>
</file>

<file path=xl/tables/table57.xml><?xml version="1.0" encoding="utf-8"?>
<x:table xmlns:x="http://schemas.openxmlformats.org/spreadsheetml/2006/main" id="46" name="MenuTable46" displayName="MenuTable46" ref="A14:H16" headerRowCount="1" totalsRowCount="0" totalsRowShown="0">
  <x:tableColumns count="8">
    <x:tableColumn id="1" name="Laporan"/>
    <x:tableColumn id="2" name="Periode"/>
    <x:tableColumn id="3" name="Lingkup"/>
    <x:tableColumn id="4" name="Versi"/>
    <x:tableColumn id="5" name="Status periode"/>
    <x:tableColumn id="6" name="Penanggung jawab"/>
    <x:tableColumn id="7" name="Diperbarui"/>
    <x:tableColumn id="8" name="Aksi"/>
  </x:tableColumns>
  <x:tableStyleInfo name="TableStyleMedium2" showFirstColumn="0" showLastColumn="0" showRowStripes="1" showColumnStripes="0"/>
</x:table>
</file>

<file path=xl/tables/table58.xml><?xml version="1.0" encoding="utf-8"?>
<x:table xmlns:x="http://schemas.openxmlformats.org/spreadsheetml/2006/main" id="47" name="MenuTable47" displayName="MenuTable47" ref="A28:H29" headerRowCount="1" totalsRowCount="0" totalsRowShown="0">
  <x:tableColumns count="8">
    <x:tableColumn id="1" name="Kode akun"/>
    <x:tableColumn id="2" name="Nama akun"/>
    <x:tableColumn id="3" name="Unit"/>
    <x:tableColumn id="4" name="Awal Rp"/>
    <x:tableColumn id="5" name="Debit Rp"/>
    <x:tableColumn id="6" name="Kredit Rp"/>
    <x:tableColumn id="7" name="Akhir Rp"/>
    <x:tableColumn id="8" name="Aksi"/>
  </x:tableColumns>
  <x:tableStyleInfo name="TableStyleMedium2" showFirstColumn="0" showLastColumn="0" showRowStripes="1" showColumnStripes="0"/>
</x:table>
</file>

<file path=xl/tables/table59.xml><?xml version="1.0" encoding="utf-8"?>
<x:table xmlns:x="http://schemas.openxmlformats.org/spreadsheetml/2006/main" id="48" name="MenuTable48" displayName="MenuTable48" ref="A41:H42" headerRowCount="1" totalsRowCount="0" totalsRowShown="0">
  <x:tableColumns count="8">
    <x:tableColumn id="1" name="Laporan"/>
    <x:tableColumn id="2" name="Periode posisi"/>
    <x:tableColumn id="3" name="Unit"/>
    <x:tableColumn id="4" name="Dimensi utama"/>
    <x:tableColumn id="5" name="Sumber register"/>
    <x:tableColumn id="6" name="Pemilik"/>
    <x:tableColumn id="7" name="Status data"/>
    <x:tableColumn id="8" name="Aksi"/>
  </x:tableColumns>
  <x:tableStyleInfo name="TableStyleMedium2" showFirstColumn="0" showLastColumn="0" showRowStripes="1" showColumnStripes="0"/>
</x:table>
</file>

<file path=xl/tables/table60.xml><?xml version="1.0" encoding="utf-8"?>
<x:table xmlns:x="http://schemas.openxmlformats.org/spreadsheetml/2006/main" id="49" name="MenuTable49" displayName="MenuTable49" ref="A54:H55" headerRowCount="1" totalsRowCount="0" totalsRowShown="0">
  <x:tableColumns count="8">
    <x:tableColumn id="1" name="Paket"/>
    <x:tableColumn id="2" name="Periode"/>
    <x:tableColumn id="3" name="Cakupan unit"/>
    <x:tableColumn id="4" name="Unit siap"/>
    <x:tableColumn id="5" name="Unit belum siap"/>
    <x:tableColumn id="6" name="Eliminasi"/>
    <x:tableColumn id="7" name="Status"/>
    <x:tableColumn id="8" name="Aksi"/>
  </x:tableColumns>
  <x:tableStyleInfo name="TableStyleMedium2" showFirstColumn="0" showLastColumn="0" showRowStripes="1" showColumnStripes="0"/>
</x:table>
</file>

<file path=xl/tables/table61.xml><?xml version="1.0" encoding="utf-8"?>
<x:table xmlns:x="http://schemas.openxmlformats.org/spreadsheetml/2006/main" id="60" name="MenuTable60" displayName="MenuTable60" ref="A67:H72" headerRowCount="1" totalsRowCount="0" totalsRowShown="0">
  <x:tableColumns count="8">
    <x:tableColumn id="1" name="Pos laporan"/>
    <x:tableColumn id="2" name="Periode ini Rp"/>
    <x:tableColumn id="3" name="Pembanding Rp"/>
    <x:tableColumn id="4" name="Selisih Rp"/>
    <x:tableColumn id="5" name="Tingkat"/>
    <x:tableColumn id="6" name="Sumber"/>
    <x:tableColumn id="7" name="Tindakan"/>
    <x:tableColumn id="8" name="Tampilan"/>
  </x:tableColumns>
  <x:tableStyleInfo name="TableStyleMedium2" showFirstColumn="0" showLastColumn="0" showRowStripes="1" showColumnStripes="0"/>
</x:table>
</file>

<file path=xl/tables/table62.xml><?xml version="1.0" encoding="utf-8"?>
<x:table xmlns:x="http://schemas.openxmlformats.org/spreadsheetml/2006/main" id="105" name="FinanceUX45" displayName="FinanceUX45" ref="A76:F80" headerRowCount="1" totalsRowCount="0" totalsRowShown="0">
  <x:tableColumns count="6">
    <x:tableColumn id="1" name="Tab"/>
    <x:tableColumn id="2" name="Sidebar detail"/>
    <x:tableColumn id="3" name="Tombol"/>
    <x:tableColumn id="4" name="Form"/>
    <x:tableColumn id="5" name="Tabel anak"/>
    <x:tableColumn id="6" name="Bentuk layar"/>
  </x:tableColumns>
  <x:tableStyleInfo name="TableStyleMedium2" showFirstColumn="0" showLastColumn="0" showRowStripes="1" showColumnStripes="0"/>
</x:table>
</file>

<file path=xl/tables/table63.xml><?xml version="1.0" encoding="utf-8"?>
<x:table xmlns:x="http://schemas.openxmlformats.org/spreadsheetml/2006/main" id="50" name="MenuTable50" displayName="MenuTable50" ref="A14:H15" headerRowCount="1" totalsRowCount="0" totalsRowShown="0">
  <x:tableColumns count="8">
    <x:tableColumn id="1" name="Kode akun"/>
    <x:tableColumn id="2" name="Nama akun"/>
    <x:tableColumn id="3" name="Level"/>
    <x:tableColumn id="4" name="Unit"/>
    <x:tableColumn id="5" name="Aktif"/>
    <x:tableColumn id="6" name="Izin posting"/>
    <x:tableColumn id="7" name="Kelompok laporan"/>
    <x:tableColumn id="8" name="Aksi"/>
  </x:tableColumns>
  <x:tableStyleInfo name="TableStyleMedium2" showFirstColumn="0" showLastColumn="0" showRowStripes="1" showColumnStripes="0"/>
</x:table>
</file>

<file path=xl/tables/table64.xml><?xml version="1.0" encoding="utf-8"?>
<x:table xmlns:x="http://schemas.openxmlformats.org/spreadsheetml/2006/main" id="51" name="MenuTable51" displayName="MenuTable51" ref="A27:H28" headerRowCount="1" totalsRowCount="0" totalsRowShown="0">
  <x:tableColumns count="8">
    <x:tableColumn id="1" name="Kejadian"/>
    <x:tableColumn id="2" name="Peran akun"/>
    <x:tableColumn id="3" name="Unit"/>
    <x:tableColumn id="4" name="Bank/jenis"/>
    <x:tableColumn id="5" name="Akun tujuan"/>
    <x:tableColumn id="6" name="Aktivasi"/>
    <x:tableColumn id="7" name="Bukti uji"/>
    <x:tableColumn id="8" name="Aksi"/>
  </x:tableColumns>
  <x:tableStyleInfo name="TableStyleMedium2" showFirstColumn="0" showLastColumn="0" showRowStripes="1" showColumnStripes="0"/>
</x:table>
</file>

<file path=xl/tables/table65.xml><?xml version="1.0" encoding="utf-8"?>
<x:table xmlns:x="http://schemas.openxmlformats.org/spreadsheetml/2006/main" id="52" name="MenuTable52" displayName="MenuTable52" ref="A40:H41" headerRowCount="1" totalsRowCount="0" totalsRowShown="0">
  <x:tableColumns count="8">
    <x:tableColumn id="1" name="Master"/>
    <x:tableColumn id="2" name="Kode"/>
    <x:tableColumn id="3" name="Nama"/>
    <x:tableColumn id="4" name="Unit"/>
    <x:tableColumn id="5" name="Jenis"/>
    <x:tableColumn id="6" name="Aktif"/>
    <x:tableColumn id="7" name="Kelengkapan"/>
    <x:tableColumn id="8" name="Aksi"/>
  </x:tableColumns>
  <x:tableStyleInfo name="TableStyleMedium2" showFirstColumn="0" showLastColumn="0" showRowStripes="1" showColumnStripes="0"/>
</x:table>
</file>

<file path=xl/tables/table66.xml><?xml version="1.0" encoding="utf-8"?>
<x:table xmlns:x="http://schemas.openxmlformats.org/spreadsheetml/2006/main" id="53" name="MenuTable53" displayName="MenuTable53" ref="A53:H54" headerRowCount="1" totalsRowCount="0" totalsRowShown="0">
  <x:tableColumns count="8">
    <x:tableColumn id="1" name="Kebijakan"/>
    <x:tableColumn id="2" name="Lingkup"/>
    <x:tableColumn id="3" name="Berlaku mulai"/>
    <x:tableColumn id="4" name="Pemilik"/>
    <x:tableColumn id="5" name="Versi"/>
    <x:tableColumn id="6" name="Status"/>
    <x:tableColumn id="7" name="Referensi"/>
    <x:tableColumn id="8" name="Aksi"/>
  </x:tableColumns>
  <x:tableStyleInfo name="TableStyleMedium2" showFirstColumn="0" showLastColumn="0" showRowStripes="1" showColumnStripes="0"/>
</x:table>
</file>

<file path=xl/tables/table67.xml><?xml version="1.0" encoding="utf-8"?>
<x:table xmlns:x="http://schemas.openxmlformats.org/spreadsheetml/2006/main" id="54" name="MenuTable54" displayName="MenuTable54" ref="A66:H67" headerRowCount="1" totalsRowCount="0" totalsRowShown="0">
  <x:tableColumns count="8">
    <x:tableColumn id="1" name="Peran"/>
    <x:tableColumn id="2" name="Menu"/>
    <x:tableColumn id="3" name="Cakupan unit"/>
    <x:tableColumn id="4" name="Lihat"/>
    <x:tableColumn id="5" name="Buat"/>
    <x:tableColumn id="6" name="Review"/>
    <x:tableColumn id="7" name="Eksekusi"/>
    <x:tableColumn id="8" name="Status"/>
  </x:tableColumns>
  <x:tableStyleInfo name="TableStyleMedium2" showFirstColumn="0" showLastColumn="0" showRowStripes="1" showColumnStripes="0"/>
</x:table>
</file>

<file path=xl/tables/table68.xml><?xml version="1.0" encoding="utf-8"?>
<x:table xmlns:x="http://schemas.openxmlformats.org/spreadsheetml/2006/main" id="55" name="MenuTable55" displayName="MenuTable55" ref="A79:H80" headerRowCount="1" totalsRowCount="0" totalsRowShown="0">
  <x:tableColumns count="8">
    <x:tableColumn id="1" name="Perubahan"/>
    <x:tableColumn id="2" name="Waktu"/>
    <x:tableColumn id="3" name="Pelaku"/>
    <x:tableColumn id="4" name="Objek"/>
    <x:tableColumn id="5" name="Sebelum"/>
    <x:tableColumn id="6" name="Sesudah"/>
    <x:tableColumn id="7" name="Alasan"/>
    <x:tableColumn id="8" name="Referensi"/>
  </x:tableColumns>
  <x:tableStyleInfo name="TableStyleMedium2" showFirstColumn="0" showLastColumn="0" showRowStripes="1" showColumnStripes="0"/>
</x:table>
</file>

<file path=xl/tables/table69.xml><?xml version="1.0" encoding="utf-8"?>
<x:table xmlns:x="http://schemas.openxmlformats.org/spreadsheetml/2006/main" id="106" name="FinanceUX46" displayName="FinanceUX46" ref="A90:F96" headerRowCount="1" totalsRowCount="0" totalsRowShown="0">
  <x:tableColumns count="6">
    <x:tableColumn id="1" name="Tab"/>
    <x:tableColumn id="2" name="Sidebar detail"/>
    <x:tableColumn id="3" name="Tombol"/>
    <x:tableColumn id="4" name="Form"/>
    <x:tableColumn id="5" name="Tabel anak"/>
    <x:tableColumn id="6" name="Bentuk layar"/>
  </x:tableColumns>
  <x:tableStyleInfo name="TableStyleMedium2" showFirstColumn="0" showLastColumn="0" showRowStripes="1" showColumnStripes="0"/>
</x:table>
</file>

<file path=xl/tables/table70.xml><?xml version="1.0" encoding="utf-8"?>
<x:table xmlns:x="http://schemas.openxmlformats.org/spreadsheetml/2006/main" id="56" name="MenuTable56" displayName="MenuTable56" ref="A5:H13" headerRowCount="1" totalsRowCount="0" totalsRowShown="0">
  <x:tableColumns count="8">
    <x:tableColumn id="1" name="Urutan"/>
    <x:tableColumn id="2" name="Waktu / pemicu"/>
    <x:tableColumn id="3" name="Pekerjaan"/>
    <x:tableColumn id="4" name="Menu masuk"/>
    <x:tableColumn id="5" name="Tab"/>
    <x:tableColumn id="6" name="Hasil yang diharapkan"/>
    <x:tableColumn id="7" name="Menu lanjutan"/>
    <x:tableColumn id="8" name="Kontrol utama"/>
  </x:tableColumns>
  <x:tableStyleInfo name="TableStyleMedium2" showFirstColumn="0" showLastColumn="0" showRowStripes="1" showColumnStripes="0"/>
</x:table>
</file>

<file path=xl/tables/table71.xml><?xml version="1.0" encoding="utf-8"?>
<x:table xmlns:x="http://schemas.openxmlformats.org/spreadsheetml/2006/main" id="57" name="MenuTable57" displayName="MenuTable57" ref="A16:H29" headerRowCount="1" totalsRowCount="0" totalsRowShown="0">
  <x:tableColumns count="8">
    <x:tableColumn id="1" name="Alur bisnis"/>
    <x:tableColumn id="2" name="Pemicu / sumber"/>
    <x:tableColumn id="3" name="Pencatatan awal"/>
    <x:tableColumn id="4" name="Kontrol utama"/>
    <x:tableColumn id="5" name="Penyelesaian uang"/>
    <x:tableColumn id="6" name="Rekonsiliasi"/>
    <x:tableColumn id="7" name="Hasil laporan"/>
    <x:tableColumn id="8" name="ID yang dipertahankan"/>
  </x:tableColumns>
  <x:tableStyleInfo name="TableStyleMedium2" showFirstColumn="0" showLastColumn="0" showRowStripes="1" showColumnStripes="0"/>
</x:table>
</file>

<file path=xl/tables/table72.xml><?xml version="1.0" encoding="utf-8"?>
<x:table xmlns:x="http://schemas.openxmlformats.org/spreadsheetml/2006/main" id="58" name="MenuTable58" displayName="MenuTable58" ref="A5:H15" headerRowCount="1" totalsRowCount="0" totalsRowShown="0">
  <x:tableColumns count="8">
    <x:tableColumn id="1" name="Bagian layar"/>
    <x:tableColumn id="2" name="Bentuk"/>
    <x:tableColumn id="3" name="Isi utama"/>
    <x:tableColumn id="4" name="Perilaku"/>
    <x:tableColumn id="5" name="Contoh"/>
    <x:tableColumn id="6" name="Batas"/>
    <x:tableColumn id="7" name="Pemilik"/>
    <x:tableColumn id="8" name="Keputusan"/>
  </x:tableColumns>
  <x:tableStyleInfo name="TableStyleMedium2" showFirstColumn="0" showLastColumn="0" showRowStripes="1" showColumnStripes="0"/>
</x:table>
</file>

<file path=xl/tables/table73.xml><?xml version="1.0" encoding="utf-8"?>
<x:table xmlns:x="http://schemas.openxmlformats.org/spreadsheetml/2006/main" id="59" name="MenuTable59" displayName="MenuTable59" ref="A18:H27" headerRowCount="1" totalsRowCount="0" totalsRowShown="0">
  <x:tableColumns count="8">
    <x:tableColumn id="1" name="Pertemuan"/>
    <x:tableColumn id="2" name="Sumber dokumen"/>
    <x:tableColumn id="3" name="Pemilik proses"/>
    <x:tableColumn id="4" name="Menu yang menampilkan"/>
    <x:tableColumn id="5" name="Aksi yang dipakai bersama"/>
    <x:tableColumn id="6" name="Yang harus dicegah"/>
    <x:tableColumn id="7" name="Bukti penerimaan"/>
    <x:tableColumn id="8" name="Prioritas"/>
  </x:tableColumns>
  <x:tableStyleInfo name="TableStyleMedium2" showFirstColumn="0" showLastColumn="0" showRowStripes="1" showColumnStripes="0"/>
</x:table>
</file>

<file path=xl/tables/table74.xml><?xml version="1.0" encoding="utf-8"?>
<x:table xmlns:x="http://schemas.openxmlformats.org/spreadsheetml/2006/main" id="61" name="FinanceUX1" displayName="FinanceUX1" ref="A5:H59" headerRowCount="1" totalsRowCount="0" totalsRowShown="0">
  <x:tableColumns count="8">
    <x:tableColumn id="1" name="Menu / tab"/>
    <x:tableColumn id="2" name="Header detail"/>
    <x:tableColumn id="3" name="Bagian / subtab detail"/>
    <x:tableColumn id="4" name="Isi yang dibuka"/>
    <x:tableColumn id="5" name="Tabel anak"/>
    <x:tableColumn id="6" name="Form terkait"/>
    <x:tableColumn id="7" name="Bentuk layar"/>
    <x:tableColumn id="8" name="Aturan sumber"/>
  </x:tableColumns>
  <x:tableStyleInfo name="TableStyleMedium2" showFirstColumn="0" showLastColumn="0" showRowStripes="1" showColumnStripes="0"/>
</x:table>
</file>

<file path=xl/tables/table75.xml><?xml version="1.0" encoding="utf-8"?>
<x:table xmlns:x="http://schemas.openxmlformats.org/spreadsheetml/2006/main" id="62" name="FinanceUX2" displayName="FinanceUX2" ref="A5:H250" headerRowCount="1" totalsRowCount="0" totalsRowShown="0">
  <x:tableColumns count="8">
    <x:tableColumn id="1" name="Menu / tab"/>
    <x:tableColumn id="2" name="Tombol / posisi"/>
    <x:tableColumn id="3" name="Siapa"/>
    <x:tableColumn id="4" name="Aktif saat"/>
    <x:tableColumn id="5" name="Syarat / konfirmasi"/>
    <x:tableColumn id="6" name="Membuka form / sumber"/>
    <x:tableColumn id="7" name="Hasil"/>
    <x:tableColumn id="8" name="Jika belum memenuhi"/>
  </x:tableColumns>
  <x:tableStyleInfo name="TableStyleMedium2" showFirstColumn="0" showLastColumn="0" showRowStripes="1" showColumnStripes="0"/>
</x:table>
</file>

<file path=xl/tables/table76.xml><?xml version="1.0" encoding="utf-8"?>
<x:table xmlns:x="http://schemas.openxmlformats.org/spreadsheetml/2006/main" id="63" name="FinanceUX3" displayName="FinanceUX3" ref="A5:H355" headerRowCount="1" totalsRowCount="0" totalsRowShown="0">
  <x:tableColumns count="8">
    <x:tableColumn id="1" name="Form"/>
    <x:tableColumn id="2" name="Pemilik"/>
    <x:tableColumn id="3" name="Field"/>
    <x:tableColumn id="4" name="Bentuk input"/>
    <x:tableColumn id="5" name="Wajib"/>
    <x:tableColumn id="6" name="Sumber / pilihan"/>
    <x:tableColumn id="7" name="Validasi / batas"/>
    <x:tableColumn id="8" name="Dapat diubah saat"/>
  </x:tableColumns>
  <x:tableStyleInfo name="TableStyleMedium2" showFirstColumn="0" showLastColumn="0" showRowStripes="1" showColumnStripes="0"/>
</x:table>
</file>

<file path=xl/tables/table77.xml><?xml version="1.0" encoding="utf-8"?>
<x:table xmlns:x="http://schemas.openxmlformats.org/spreadsheetml/2006/main" id="64" name="FinanceUX4" displayName="FinanceUX4" ref="A5:H40" headerRowCount="1" totalsRowCount="0" totalsRowShown="0">
  <x:tableColumns count="8">
    <x:tableColumn id="1" name="Form"/>
    <x:tableColumn id="2" name="Dibuka dari"/>
    <x:tableColumn id="3" name="Urutan isi"/>
    <x:tableColumn id="4" name="Tabel anak"/>
    <x:tableColumn id="5" name="Tombol dalam form"/>
    <x:tableColumn id="6" name="Hasil"/>
    <x:tableColumn id="7" name="Batas setelah submit"/>
    <x:tableColumn id="8" name="Keluar / gagal"/>
  </x:tableColumns>
  <x:tableStyleInfo name="TableStyleMedium2" showFirstColumn="0" showLastColumn="0" showRowStripes="1" showColumnStripes="0"/>
</x:table>
</file>

<file path=xl/tables/table78.xml><?xml version="1.0" encoding="utf-8"?>
<x:table xmlns:x="http://schemas.openxmlformats.org/spreadsheetml/2006/main" id="65" name="FinanceUX5" displayName="FinanceUX5" ref="A44:F51" headerRowCount="1" totalsRowCount="0" totalsRowShown="0">
  <x:tableColumns count="6">
    <x:tableColumn id="1" name="Objek"/>
    <x:tableColumn id="2" name="Persetujuan"/>
    <x:tableColumn id="3" name="Pencatatan / pelaksanaan"/>
    <x:tableColumn id="4" name="Penyelesaian"/>
    <x:tableColumn id="5" name="Contoh tombol aktif"/>
    <x:tableColumn id="6" name="Yang tidak boleh disimpulkan"/>
  </x:tableColumns>
  <x:tableStyleInfo name="TableStyleMedium2" showFirstColumn="0" showLastColumn="0" showRowStripes="1" showColumnStripes="0"/>
</x:table>
</file>

<file path=xl/tables/table79.xml><?xml version="1.0" encoding="utf-8"?>
<x:table xmlns:x="http://schemas.openxmlformats.org/spreadsheetml/2006/main" id="66" name="FinanceUX6" displayName="FinanceUX6" ref="A6:H8" headerRowCount="1" totalsRowCount="0" totalsRowShown="0">
  <x:tableColumns count="8">
    <x:tableColumn id="1" name="Nama"/>
    <x:tableColumn id="2" name="Jenis"/>
    <x:tableColumn id="3" name="Versi"/>
    <x:tableColumn id="4" name="Tanggal"/>
    <x:tableColumn id="5" name="Pengunggah"/>
    <x:tableColumn id="6" name="Akses"/>
    <x:tableColumn id="7" name="Status"/>
    <x:tableColumn id="8" name="Aksi"/>
  </x:tableColumns>
  <x:tableStyleInfo name="TableStyleMedium2" showFirstColumn="0" showLastColumn="0" showRowStripes="1" showColumnStripes="0"/>
</x:table>
</file>

<file path=xl/tables/table80.xml><?xml version="1.0" encoding="utf-8"?>
<x:table xmlns:x="http://schemas.openxmlformats.org/spreadsheetml/2006/main" id="67" name="FinanceUX7" displayName="FinanceUX7" ref="A17:H19" headerRowCount="1" totalsRowCount="0" totalsRowShown="0">
  <x:tableColumns count="8">
    <x:tableColumn id="1" name="Tahap"/>
    <x:tableColumn id="2" name="Versi"/>
    <x:tableColumn id="3" name="Pelaku"/>
    <x:tableColumn id="4" name="Keputusan"/>
    <x:tableColumn id="5" name="Waktu"/>
    <x:tableColumn id="6" name="Alasan"/>
    <x:tableColumn id="7" name="Sumber"/>
    <x:tableColumn id="8" name="Aksi"/>
  </x:tableColumns>
  <x:tableStyleInfo name="TableStyleMedium2" showFirstColumn="0" showLastColumn="0" showRowStripes="1" showColumnStripes="0"/>
</x:table>
</file>

<file path=xl/tables/table81.xml><?xml version="1.0" encoding="utf-8"?>
<x:table xmlns:x="http://schemas.openxmlformats.org/spreadsheetml/2006/main" id="68" name="FinanceUX8" displayName="FinanceUX8" ref="A28:H30" headerRowCount="1" totalsRowCount="0" totalsRowShown="0">
  <x:tableColumns count="8">
    <x:tableColumn id="1" name="Dokumen"/>
    <x:tableColumn id="2" name="Pihak"/>
    <x:tableColumn id="3" name="Jenis saldo"/>
    <x:tableColumn id="4" name="Nilai sumber Rp"/>
    <x:tableColumn id="5" name="Sisa Rp"/>
    <x:tableColumn id="6" name="Alokasi Rp"/>
    <x:tableColumn id="7" name="Sisa sesudah Rp"/>
    <x:tableColumn id="8" name="Aksi"/>
  </x:tableColumns>
  <x:tableStyleInfo name="TableStyleMedium2" showFirstColumn="0" showLastColumn="0" showRowStripes="1" showColumnStripes="0"/>
</x:table>
</file>

<file path=xl/tables/table82.xml><?xml version="1.0" encoding="utf-8"?>
<x:table xmlns:x="http://schemas.openxmlformats.org/spreadsheetml/2006/main" id="69" name="FinanceUX9" displayName="FinanceUX9" ref="A39:H40" headerRowCount="1" totalsRowCount="0" totalsRowShown="0">
  <x:tableColumns count="8">
    <x:tableColumn id="1" name="Tanggal"/>
    <x:tableColumn id="2" name="Referensi"/>
    <x:tableColumn id="3" name="Jenis"/>
    <x:tableColumn id="4" name="Masuk Rp"/>
    <x:tableColumn id="5" name="Keluar Rp"/>
    <x:tableColumn id="6" name="Saldo Rp"/>
    <x:tableColumn id="7" name="Status"/>
    <x:tableColumn id="8" name="Aksi"/>
  </x:tableColumns>
  <x:tableStyleInfo name="TableStyleMedium2" showFirstColumn="0" showLastColumn="0" showRowStripes="1" showColumnStripes="0"/>
</x:table>
</file>

<file path=xl/tables/table83.xml><?xml version="1.0" encoding="utf-8"?>
<x:table xmlns:x="http://schemas.openxmlformats.org/spreadsheetml/2006/main" id="70" name="FinanceUX10" displayName="FinanceUX10" ref="A49:H51" headerRowCount="1" totalsRowCount="0" totalsRowShown="0">
  <x:tableColumns count="8">
    <x:tableColumn id="1" name="Baris bank"/>
    <x:tableColumn id="2" name="Nilai bank Rp"/>
    <x:tableColumn id="3" name="Dokumen buku"/>
    <x:tableColumn id="4" name="Nilai buku Rp"/>
    <x:tableColumn id="5" name="Alokasi Rp"/>
    <x:tableColumn id="6" name="Sisa bank Rp"/>
    <x:tableColumn id="7" name="Status"/>
    <x:tableColumn id="8" name="Aksi"/>
  </x:tableColumns>
  <x:tableStyleInfo name="TableStyleMedium2" showFirstColumn="0" showLastColumn="0" showRowStripes="1" showColumnStripes="0"/>
</x:table>
</file>

<file path=xl/tables/table84.xml><?xml version="1.0" encoding="utf-8"?>
<x:table xmlns:x="http://schemas.openxmlformats.org/spreadsheetml/2006/main" id="71" name="FinanceUX11" displayName="FinanceUX11" ref="A60:H62" headerRowCount="1" totalsRowCount="0" totalsRowShown="0">
  <x:tableColumns count="8">
    <x:tableColumn id="1" name="Uraian"/>
    <x:tableColumn id="2" name="Kategori"/>
    <x:tableColumn id="3" name="Qty"/>
    <x:tableColumn id="4" name="Harga Rp"/>
    <x:tableColumn id="5" name="Potongan Rp"/>
    <x:tableColumn id="6" name="Neto Rp"/>
    <x:tableColumn id="7" name="Unit biaya"/>
    <x:tableColumn id="8" name="Aksi"/>
  </x:tableColumns>
  <x:tableStyleInfo name="TableStyleMedium2" showFirstColumn="0" showLastColumn="0" showRowStripes="1" showColumnStripes="0"/>
</x:table>
</file>

<file path=xl/tables/table85.xml><?xml version="1.0" encoding="utf-8"?>
<x:table xmlns:x="http://schemas.openxmlformats.org/spreadsheetml/2006/main" id="72" name="FinanceUX12" displayName="FinanceUX12" ref="A71:H72" headerRowCount="1" totalsRowCount="0" totalsRowShown="0">
  <x:tableColumns count="8">
    <x:tableColumn id="1" name="Sumber"/>
    <x:tableColumn id="2" name="Jenis pajak"/>
    <x:tableColumn id="3" name="Masa"/>
    <x:tableColumn id="4" name="Dasar Rp"/>
    <x:tableColumn id="5" name="Nilai pajak Rp"/>
    <x:tableColumn id="6" name="Nomor dokumen"/>
    <x:tableColumn id="7" name="Status"/>
    <x:tableColumn id="8" name="Aksi"/>
  </x:tableColumns>
  <x:tableStyleInfo name="TableStyleMedium2" showFirstColumn="0" showLastColumn="0" showRowStripes="1" showColumnStripes="0"/>
</x:table>
</file>

<file path=xl/tables/table86.xml><?xml version="1.0" encoding="utf-8"?>
<x:table xmlns:x="http://schemas.openxmlformats.org/spreadsheetml/2006/main" id="73" name="FinanceUX13" displayName="FinanceUX13" ref="A81:H83" headerRowCount="1" totalsRowCount="0" totalsRowShown="0">
  <x:tableColumns count="8">
    <x:tableColumn id="1" name="Sumber"/>
    <x:tableColumn id="2" name="Jenis"/>
    <x:tableColumn id="3" name="Nilai Rp"/>
    <x:tableColumn id="4" name="Disetujui Rp"/>
    <x:tableColumn id="5" name="Pembayaran/penerimaan"/>
    <x:tableColumn id="6" name="Bukti"/>
    <x:tableColumn id="7" name="Status"/>
    <x:tableColumn id="8" name="Aksi"/>
  </x:tableColumns>
  <x:tableStyleInfo name="TableStyleMedium2" showFirstColumn="0" showLastColumn="0" showRowStripes="1" showColumnStripes="0"/>
</x:table>
</file>

<file path=xl/tables/table87.xml><?xml version="1.0" encoding="utf-8"?>
<x:table xmlns:x="http://schemas.openxmlformats.org/spreadsheetml/2006/main" id="74" name="FinanceUX14" displayName="FinanceUX14" ref="A92:H94" headerRowCount="1" totalsRowCount="0" totalsRowShown="0">
  <x:tableColumns count="8">
    <x:tableColumn id="1" name="Periode"/>
    <x:tableColumn id="2" name="Dasar Rp"/>
    <x:tableColumn id="3" name="Pengakuan Rp"/>
    <x:tableColumn id="4" name="Sisa Rp"/>
    <x:tableColumn id="5" name="Versi"/>
    <x:tableColumn id="6" name="Jurnal"/>
    <x:tableColumn id="7" name="Status"/>
    <x:tableColumn id="8" name="Aksi"/>
  </x:tableColumns>
  <x:tableStyleInfo name="TableStyleMedium2" showFirstColumn="0" showLastColumn="0" showRowStripes="1" showColumnStripes="0"/>
</x:table>
</file>

<file path=xl/tables/table88.xml><?xml version="1.0" encoding="utf-8"?>
<x:table xmlns:x="http://schemas.openxmlformats.org/spreadsheetml/2006/main" id="75" name="FinanceUX15" displayName="FinanceUX15" ref="A103:H104" headerRowCount="1" totalsRowCount="0" totalsRowShown="0">
  <x:tableColumns count="8">
    <x:tableColumn id="1" name="Transaksi"/>
    <x:tableColumn id="2" name="Kanal"/>
    <x:tableColumn id="3" name="Bruto Rp"/>
    <x:tableColumn id="4" name="Biaya Rp"/>
    <x:tableColumn id="5" name="Neto Rp"/>
    <x:tableColumn id="6" name="Diterima Rp"/>
    <x:tableColumn id="7" name="Selisih Rp"/>
    <x:tableColumn id="8" name="Aksi"/>
  </x:tableColumns>
  <x:tableStyleInfo name="TableStyleMedium2" showFirstColumn="0" showLastColumn="0" showRowStripes="1" showColumnStripes="0"/>
</x:table>
</file>

<file path=xl/tables/table89.xml><?xml version="1.0" encoding="utf-8"?>
<x:table xmlns:x="http://schemas.openxmlformats.org/spreadsheetml/2006/main" id="76" name="FinanceUX16" displayName="FinanceUX16" ref="A113:H114" headerRowCount="1" totalsRowCount="0" totalsRowShown="0">
  <x:tableColumns count="8">
    <x:tableColumn id="1" name="Barang"/>
    <x:tableColumn id="2" name="Satuan"/>
    <x:tableColumn id="3" name="Qty sumber"/>
    <x:tableColumn id="4" name="Qty aktual"/>
    <x:tableColumn id="5" name="Selisih qty"/>
    <x:tableColumn id="6" name="Nilai Rp"/>
    <x:tableColumn id="7" name="Alasan"/>
    <x:tableColumn id="8" name="Aksi"/>
  </x:tableColumns>
  <x:tableStyleInfo name="TableStyleMedium2" showFirstColumn="0" showLastColumn="0" showRowStripes="1" showColumnStripes="0"/>
</x:table>
</file>

<file path=xl/tables/table90.xml><?xml version="1.0" encoding="utf-8"?>
<x:table xmlns:x="http://schemas.openxmlformats.org/spreadsheetml/2006/main" id="77" name="FinanceUX17" displayName="FinanceUX17" ref="A123:H124" headerRowCount="1" totalsRowCount="0" totalsRowShown="0">
  <x:tableColumns count="8">
    <x:tableColumn id="1" name="Sumber"/>
    <x:tableColumn id="2" name="Unit"/>
    <x:tableColumn id="3" name="Lawan"/>
    <x:tableColumn id="4" name="Jenis hubungan"/>
    <x:tableColumn id="5" name="Saldo unit Rp"/>
    <x:tableColumn id="6" name="Saldo lawan Rp"/>
    <x:tableColumn id="7" name="Selisih Rp"/>
    <x:tableColumn id="8" name="Aksi"/>
  </x:tableColumns>
  <x:tableStyleInfo name="TableStyleMedium2" showFirstColumn="0" showLastColumn="0" showRowStripes="1" showColumnStripes="0"/>
</x:table>
</file>

<file path=xl/tables/table91.xml><?xml version="1.0" encoding="utf-8"?>
<x:table xmlns:x="http://schemas.openxmlformats.org/spreadsheetml/2006/main" id="78" name="FinanceUX18" displayName="FinanceUX18" ref="A133:H134" headerRowCount="1" totalsRowCount="0" totalsRowShown="0">
  <x:tableColumns count="8">
    <x:tableColumn id="1" name="Kelompok"/>
    <x:tableColumn id="2" name="GL Rp"/>
    <x:tableColumn id="3" name="Rincian Rp"/>
    <x:tableColumn id="4" name="Selisih Rp"/>
    <x:tableColumn id="5" name="Penyebab"/>
    <x:tableColumn id="6" name="Owner"/>
    <x:tableColumn id="7" name="Bukti"/>
    <x:tableColumn id="8" name="Aksi"/>
  </x:tableColumns>
  <x:tableStyleInfo name="TableStyleMedium2" showFirstColumn="0" showLastColumn="0" showRowStripes="1" showColumnStripes="0"/>
</x:table>
</file>

<file path=xl/tables/table92.xml><?xml version="1.0" encoding="utf-8"?>
<x:table xmlns:x="http://schemas.openxmlformats.org/spreadsheetml/2006/main" id="79" name="FinanceUX19" displayName="FinanceUX19" ref="A143:H144" headerRowCount="1" totalsRowCount="0" totalsRowShown="0">
  <x:tableColumns count="8">
    <x:tableColumn id="1" name="Aset"/>
    <x:tableColumn id="2" name="Kelas"/>
    <x:tableColumn id="3" name="Sumber biaya"/>
    <x:tableColumn id="4" name="Perolehan Rp"/>
    <x:tableColumn id="5" name="Akumulasi Rp"/>
    <x:tableColumn id="6" name="Nilai buku Rp"/>
    <x:tableColumn id="7" name="Status"/>
    <x:tableColumn id="8" name="Aksi"/>
  </x:tableColumns>
  <x:tableStyleInfo name="TableStyleMedium2" showFirstColumn="0" showLastColumn="0" showRowStripes="1" showColumnStripes="0"/>
</x:table>
</file>

<file path=xl/tables/table93.xml><?xml version="1.0" encoding="utf-8"?>
<x:table xmlns:x="http://schemas.openxmlformats.org/spreadsheetml/2006/main" id="80" name="FinanceUX20" displayName="FinanceUX20" ref="A153:H154" headerRowCount="1" totalsRowCount="0" totalsRowShown="0">
  <x:tableColumns count="8">
    <x:tableColumn id="1" name="Biaya sumber"/>
    <x:tableColumn id="2" name="Uraian"/>
    <x:tableColumn id="3" name="Nilai sumber Rp"/>
    <x:tableColumn id="4" name="Sudah dialokasi Rp"/>
    <x:tableColumn id="5" name="Alokasi usulan Rp"/>
    <x:tableColumn id="6" name="Sisa Rp"/>
    <x:tableColumn id="7" name="Tujuan"/>
    <x:tableColumn id="8" name="Aksi"/>
  </x:tableColumns>
  <x:tableStyleInfo name="TableStyleMedium2" showFirstColumn="0" showLastColumn="0" showRowStripes="1" showColumnStripes="0"/>
</x:table>
</file>

<file path=xl/tables/table94.xml><?xml version="1.0" encoding="utf-8"?>
<x:table xmlns:x="http://schemas.openxmlformats.org/spreadsheetml/2006/main" id="81" name="FinanceUX21" displayName="FinanceUX21" ref="A163:H164" headerRowCount="1" totalsRowCount="0" totalsRowShown="0">
  <x:tableColumns count="8">
    <x:tableColumn id="1" name="Pegawai"/>
    <x:tableColumn id="2" name="Versi HR"/>
    <x:tableColumn id="3" name="Penghasilan Rp"/>
    <x:tableColumn id="4" name="Potongan Rp"/>
    <x:tableColumn id="5" name="Neto Rp"/>
    <x:tableColumn id="6" name="Kewajiban"/>
    <x:tableColumn id="7" name="Kelengkapan"/>
    <x:tableColumn id="8" name="Aksi"/>
  </x:tableColumns>
  <x:tableStyleInfo name="TableStyleMedium2" showFirstColumn="0" showLastColumn="0" showRowStripes="1" showColumnStripes="0"/>
</x:table>
</file>

<file path=xl/tables/table95.xml><?xml version="1.0" encoding="utf-8"?>
<x:table xmlns:x="http://schemas.openxmlformats.org/spreadsheetml/2006/main" id="82" name="FinanceUX22" displayName="FinanceUX22" ref="A173:H174" headerRowCount="1" totalsRowCount="0" totalsRowShown="0">
  <x:tableColumns count="8">
    <x:tableColumn id="1" name="Sumber"/>
    <x:tableColumn id="2" name="Pegawai"/>
    <x:tableColumn id="3" name="Jenis"/>
    <x:tableColumn id="4" name="Nilai Rp"/>
    <x:tableColumn id="5" name="Alokasi Rp"/>
    <x:tableColumn id="6" name="Sisa Rp"/>
    <x:tableColumn id="7" name="Jurnal"/>
    <x:tableColumn id="8" name="Aksi"/>
  </x:tableColumns>
  <x:tableStyleInfo name="TableStyleMedium2" showFirstColumn="0" showLastColumn="0" showRowStripes="1" showColumnStripes="0"/>
</x:table>
</file>

<file path=xl/tables/table96.xml><?xml version="1.0" encoding="utf-8"?>
<x:table xmlns:x="http://schemas.openxmlformats.org/spreadsheetml/2006/main" id="83" name="FinanceUX23" displayName="FinanceUX23" ref="A183:H184" headerRowCount="1" totalsRowCount="0" totalsRowShown="0">
  <x:tableColumns count="8">
    <x:tableColumn id="1" name="Jatuh tempo"/>
    <x:tableColumn id="2" name="Pokok Rp"/>
    <x:tableColumn id="3" name="Bunga Rp"/>
    <x:tableColumn id="4" name="Biaya Rp"/>
    <x:tableColumn id="5" name="Total Rp"/>
    <x:tableColumn id="6" name="Dibayar Rp"/>
    <x:tableColumn id="7" name="Sisa Rp"/>
    <x:tableColumn id="8" name="Aksi"/>
  </x:tableColumns>
  <x:tableStyleInfo name="TableStyleMedium2" showFirstColumn="0" showLastColumn="0" showRowStripes="1" showColumnStripes="0"/>
</x:table>
</file>

<file path=xl/tables/table97.xml><?xml version="1.0" encoding="utf-8"?>
<x:table xmlns:x="http://schemas.openxmlformats.org/spreadsheetml/2006/main" id="84" name="FinanceUX24" displayName="FinanceUX24" ref="A193:H194" headerRowCount="1" totalsRowCount="0" totalsRowShown="0">
  <x:tableColumns count="8">
    <x:tableColumn id="1" name="Sumber"/>
    <x:tableColumn id="2" name="Jenis"/>
    <x:tableColumn id="3" name="Saldo awal Rp"/>
    <x:tableColumn id="4" name="Setoran Rp"/>
    <x:tableColumn id="5" name="Distribusi Rp"/>
    <x:tableColumn id="6" name="Hasil periode Rp"/>
    <x:tableColumn id="7" name="Saldo akhir Rp"/>
    <x:tableColumn id="8" name="Aksi"/>
  </x:tableColumns>
  <x:tableStyleInfo name="TableStyleMedium2" showFirstColumn="0" showLastColumn="0" showRowStripes="1" showColumnStripes="0"/>
</x:table>
</file>

<file path=xl/tables/table98.xml><?xml version="1.0" encoding="utf-8"?>
<x:table xmlns:x="http://schemas.openxmlformats.org/spreadsheetml/2006/main" id="85" name="FinanceUX25" displayName="FinanceUX25" ref="A203:H205" headerRowCount="1" totalsRowCount="0" totalsRowShown="0">
  <x:tableColumns count="8">
    <x:tableColumn id="1" name="Akun"/>
    <x:tableColumn id="2" name="Nama"/>
    <x:tableColumn id="3" name="Unit"/>
    <x:tableColumn id="4" name="Debit Rp"/>
    <x:tableColumn id="5" name="Kredit Rp"/>
    <x:tableColumn id="6" name="Uraian"/>
    <x:tableColumn id="7" name="Sumber"/>
    <x:tableColumn id="8" name="Aksi"/>
  </x:tableColumns>
  <x:tableStyleInfo name="TableStyleMedium2" showFirstColumn="0" showLastColumn="0" showRowStripes="1" showColumnStripes="0"/>
</x:table>
</file>

<file path=xl/tables/table99.xml><?xml version="1.0" encoding="utf-8"?>
<x:table xmlns:x="http://schemas.openxmlformats.org/spreadsheetml/2006/main" id="86" name="FinanceUX26" displayName="FinanceUX26" ref="A214:H216" headerRowCount="1" totalsRowCount="0" totalsRowShown="0">
  <x:tableColumns count="8">
    <x:tableColumn id="1" name="Pemeriksaan"/>
    <x:tableColumn id="2" name="Owner"/>
    <x:tableColumn id="3" name="Sumber"/>
    <x:tableColumn id="4" name="Kesiapan"/>
    <x:tableColumn id="5" name="Masalah terbuka"/>
    <x:tableColumn id="6" name="Bukti"/>
    <x:tableColumn id="7" name="Reviewer"/>
    <x:tableColumn id="8" name="Aksi"/>
  </x:tableColumns>
  <x:tableStyleInfo name="TableStyleMedium2" showFirstColumn="0" showLastColumn="0" showRowStripes="1" showColumnStripes="0"/>
</x:table>
</file>

<file path=xl/tables/table100.xml><?xml version="1.0" encoding="utf-8"?>
<x:table xmlns:x="http://schemas.openxmlformats.org/spreadsheetml/2006/main" id="87" name="FinanceUX27" displayName="FinanceUX27" ref="A225:H227" headerRowCount="1" totalsRowCount="0" totalsRowShown="0">
  <x:tableColumns count="8">
    <x:tableColumn id="1" name="Field/dimensi"/>
    <x:tableColumn id="2" name="Nilai kini"/>
    <x:tableColumn id="3" name="Nilai usulan"/>
    <x:tableColumn id="4" name="Berlaku mulai"/>
    <x:tableColumn id="5" name="Dasar"/>
    <x:tableColumn id="6" name="Status"/>
    <x:tableColumn id="7" name="Hasil uji"/>
    <x:tableColumn id="8" name="Aksi"/>
  </x:tableColumns>
  <x:tableStyleInfo name="TableStyleMedium2" showFirstColumn="0" showLastColumn="0" showRowStripes="1" showColumnStripes="0"/>
</x:table>
</file>

<file path=xl/tables/table101.xml><?xml version="1.0" encoding="utf-8"?>
<x:table xmlns:x="http://schemas.openxmlformats.org/spreadsheetml/2006/main" id="88" name="FinanceUX28" displayName="FinanceUX28" ref="A236:H238" headerRowCount="1" totalsRowCount="0" totalsRowShown="0">
  <x:tableColumns count="8">
    <x:tableColumn id="1" name="Baris"/>
    <x:tableColumn id="2" name="Referensi sumber"/>
    <x:tableColumn id="3" name="Unit"/>
    <x:tableColumn id="4" name="Tanggal"/>
    <x:tableColumn id="5" name="Nominal Rp"/>
    <x:tableColumn id="6" name="Validasi"/>
    <x:tableColumn id="7" name="Alasan"/>
    <x:tableColumn id="8" name="Aksi"/>
  </x:tableColumns>
  <x:tableStyleInfo name="TableStyleMedium2" showFirstColumn="0" showLastColumn="0" showRowStripes="1" showColumnStripes="0"/>
</x:table>
</file>

<file path=xl/tables/table102.xml><?xml version="1.0" encoding="utf-8"?>
<x:table xmlns:x="http://schemas.openxmlformats.org/spreadsheetml/2006/main" id="89" name="FinanceUX29" displayName="FinanceUX29" ref="A247:H248" headerRowCount="1" totalsRowCount="0" totalsRowShown="0">
  <x:tableColumns count="8">
    <x:tableColumn id="1" name="Pos/akun"/>
    <x:tableColumn id="2" name="Periode"/>
    <x:tableColumn id="3" name="Nilai Rp"/>
    <x:tableColumn id="4" name="Pembanding Rp"/>
    <x:tableColumn id="5" name="Selisih Rp"/>
    <x:tableColumn id="6" name="Unit"/>
    <x:tableColumn id="7" name="Sumber"/>
    <x:tableColumn id="8" name="Aksi"/>
  </x:tableColumns>
  <x:tableStyleInfo name="TableStyleMedium2" showFirstColumn="0" showLastColumn="0" showRowStripes="1" showColumnStripes="0"/>
</x:table>
</file>

<file path=xl/tables/table103.xml><?xml version="1.0" encoding="utf-8"?>
<x:table xmlns:x="http://schemas.openxmlformats.org/spreadsheetml/2006/main" id="90" name="FinanceUX30" displayName="FinanceUX30" ref="A257:H259" headerRowCount="1" totalsRowCount="0" totalsRowShown="0">
  <x:tableColumns count="8">
    <x:tableColumn id="1" name="Unit"/>
    <x:tableColumn id="2" name="Periode"/>
    <x:tableColumn id="3" name="Data tersedia"/>
    <x:tableColumn id="4" name="Periode ditutup"/>
    <x:tableColumn id="5" name="Saldo antarunit"/>
    <x:tableColumn id="6" name="Eliminasi"/>
    <x:tableColumn id="7" name="Status"/>
    <x:tableColumn id="8" name="Aksi"/>
  </x:tableColumns>
  <x:tableStyleInfo name="TableStyleMedium2" showFirstColumn="0" showLastColumn="0" showRowStripes="1" showColumnStripes="0"/>
</x:table>
</file>

<file path=xl/tables/table104.xml><?xml version="1.0" encoding="utf-8"?>
<x:table xmlns:x="http://schemas.openxmlformats.org/spreadsheetml/2006/main" id="91" name="FinanceUX31" displayName="FinanceUX31" ref="A5:H30" headerRowCount="1" totalsRowCount="0" totalsRowShown="0">
  <x:tableColumns count="8">
    <x:tableColumn id="1" name="Tabel"/>
    <x:tableColumn id="2" name="Kunci baris"/>
    <x:tableColumn id="3" name="Field editable"/>
    <x:tableColumn id="4" name="Aksi baris"/>
    <x:tableColumn id="5" name="Validasi"/>
    <x:tableColumn id="6" name="Setelah submit"/>
    <x:tableColumn id="7" name="Perilaku app"/>
    <x:tableColumn id="8" name="Contoh Excel"/>
  </x:tableColumns>
  <x:tableStyleInfo name="TableStyleMedium2" showFirstColumn="0" showLastColumn="0" showRowStripes="1" showColumnStripes="0"/>
</x:table>
</file>

<file path=xl/tables/table105.xml><?xml version="1.0" encoding="utf-8"?>
<x:table xmlns:x="http://schemas.openxmlformats.org/spreadsheetml/2006/main" id="92" name="FinanceUX32" displayName="FinanceUX32" ref="A34:C45" headerRowCount="1" totalsRowCount="0" totalsRowShown="0">
  <x:tableColumns count="3">
    <x:tableColumn id="1" name="Keadaan"/>
    <x:tableColumn id="2" name="Tampilan"/>
    <x:tableColumn id="3" name="Perilaku"/>
  </x:tableColumns>
  <x:tableStyleInfo name="TableStyleMedium2" showFirstColumn="0" showLastColumn="0" showRowStripes="1" showColumnStripes="0"/>
</x:table>
</file>

<file path=xl/tables/table106.xml><?xml version="1.0" encoding="utf-8"?>
<x:table xmlns:x="http://schemas.openxmlformats.org/spreadsheetml/2006/main" id="93" name="FinanceUX33" displayName="FinanceUX33" ref="A5:D7" headerRowCount="1" totalsRowCount="0" totalsRowShown="0">
  <x:tableColumns count="4">
    <x:tableColumn id="1" name="Tagihan"/>
    <x:tableColumn id="2" name="Vendor"/>
    <x:tableColumn id="3" name="Total Rp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2178e79b4e4f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e4407a71bc4868" /><Relationship Type="http://schemas.openxmlformats.org/officeDocument/2006/relationships/table" Target="/xl/tables/table3.xml" Id="Rd4ab3220c23f4856" /><Relationship Type="http://schemas.openxmlformats.org/officeDocument/2006/relationships/table" Target="/xl/tables/table4.xml" Id="Rd73ab783674f4b91" /><Relationship Type="http://schemas.openxmlformats.org/officeDocument/2006/relationships/table" Target="/xl/tables/table5.xml" Id="R45dfe15234f846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a509928be80445fe" /><Relationship Type="http://schemas.openxmlformats.org/officeDocument/2006/relationships/table" Target="/xl/tables/table7.xml" Id="Rf2d0ac98d2264892" /><Relationship Type="http://schemas.openxmlformats.org/officeDocument/2006/relationships/table" Target="/xl/tables/table8.xml" Id="Ra58e33a37c334c38" /><Relationship Type="http://schemas.openxmlformats.org/officeDocument/2006/relationships/table" Target="/xl/tables/table9.xml" Id="R008cedf4dbc7439e" /><Relationship Type="http://schemas.openxmlformats.org/officeDocument/2006/relationships/table" Target="/xl/tables/table10.xml" Id="R5204e95b00b643cc" /><Relationship Type="http://schemas.openxmlformats.org/officeDocument/2006/relationships/table" Target="/xl/tables/table11.xml" Id="Ree272106008d4f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2.xml" Id="R2a6a74aa0a4e496d" /><Relationship Type="http://schemas.openxmlformats.org/officeDocument/2006/relationships/table" Target="/xl/tables/table13.xml" Id="R24f15ea44c144d53" /><Relationship Type="http://schemas.openxmlformats.org/officeDocument/2006/relationships/table" Target="/xl/tables/table14.xml" Id="R8dfff6cf8f3f497f" /><Relationship Type="http://schemas.openxmlformats.org/officeDocument/2006/relationships/table" Target="/xl/tables/table15.xml" Id="Rd82d3c4260b842a9" /><Relationship Type="http://schemas.openxmlformats.org/officeDocument/2006/relationships/table" Target="/xl/tables/table16.xml" Id="Ra4a9aaf69d0240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7.xml" Id="R72b32ff5f79e40eb" /><Relationship Type="http://schemas.openxmlformats.org/officeDocument/2006/relationships/table" Target="/xl/tables/table18.xml" Id="Rba50fde050ce48e1" /><Relationship Type="http://schemas.openxmlformats.org/officeDocument/2006/relationships/table" Target="/xl/tables/table19.xml" Id="R390ffe046f5b4b10" /><Relationship Type="http://schemas.openxmlformats.org/officeDocument/2006/relationships/table" Target="/xl/tables/table20.xml" Id="Re97523b2e88a4fa5" /><Relationship Type="http://schemas.openxmlformats.org/officeDocument/2006/relationships/table" Target="/xl/tables/table21.xml" Id="R33b17b1a74104c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2.xml" Id="R95eac9e3f7ea42b8" /><Relationship Type="http://schemas.openxmlformats.org/officeDocument/2006/relationships/table" Target="/xl/tables/table23.xml" Id="R05b1a820c61d4b34" /><Relationship Type="http://schemas.openxmlformats.org/officeDocument/2006/relationships/table" Target="/xl/tables/table24.xml" Id="R9e36615b71544054" /><Relationship Type="http://schemas.openxmlformats.org/officeDocument/2006/relationships/table" Target="/xl/tables/table25.xml" Id="Rb3e28b8abc234ad8" /><Relationship Type="http://schemas.openxmlformats.org/officeDocument/2006/relationships/table" Target="/xl/tables/table26.xml" Id="R8fc06b1d9ca544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7.xml" Id="Rb2c52360f8864124" /><Relationship Type="http://schemas.openxmlformats.org/officeDocument/2006/relationships/table" Target="/xl/tables/table28.xml" Id="Rfb74c84d5d0b4460" /><Relationship Type="http://schemas.openxmlformats.org/officeDocument/2006/relationships/table" Target="/xl/tables/table29.xml" Id="R083ec27497a94b20" /><Relationship Type="http://schemas.openxmlformats.org/officeDocument/2006/relationships/table" Target="/xl/tables/table30.xml" Id="Rf5ab96f6daa44a63" /><Relationship Type="http://schemas.openxmlformats.org/officeDocument/2006/relationships/table" Target="/xl/tables/table31.xml" Id="R21c7ba71894242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2.xml" Id="R716102ab45cd4709" /><Relationship Type="http://schemas.openxmlformats.org/officeDocument/2006/relationships/table" Target="/xl/tables/table33.xml" Id="R7f503b866c644484" /><Relationship Type="http://schemas.openxmlformats.org/officeDocument/2006/relationships/table" Target="/xl/tables/table34.xml" Id="Rf2fe4c5704af4c87" /><Relationship Type="http://schemas.openxmlformats.org/officeDocument/2006/relationships/table" Target="/xl/tables/table35.xml" Id="R435df95d0a0c43e9" /><Relationship Type="http://schemas.openxmlformats.org/officeDocument/2006/relationships/table" Target="/xl/tables/table36.xml" Id="R08bf47f2bba04e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7.xml" Id="Reee72820e828480a" /><Relationship Type="http://schemas.openxmlformats.org/officeDocument/2006/relationships/table" Target="/xl/tables/table38.xml" Id="R5e661e1d2b42424b" /><Relationship Type="http://schemas.openxmlformats.org/officeDocument/2006/relationships/table" Target="/xl/tables/table39.xml" Id="R6a1d405b5db9405f" /><Relationship Type="http://schemas.openxmlformats.org/officeDocument/2006/relationships/table" Target="/xl/tables/table40.xml" Id="R45e7f8fb9ca242a2" /><Relationship Type="http://schemas.openxmlformats.org/officeDocument/2006/relationships/table" Target="/xl/tables/table41.xml" Id="R9a2872291bd7412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42.xml" Id="R5a04fb5174974f5d" /><Relationship Type="http://schemas.openxmlformats.org/officeDocument/2006/relationships/table" Target="/xl/tables/table43.xml" Id="Rda2b2fca68f94380" /><Relationship Type="http://schemas.openxmlformats.org/officeDocument/2006/relationships/table" Target="/xl/tables/table44.xml" Id="R8efb6e7198874b6d" /><Relationship Type="http://schemas.openxmlformats.org/officeDocument/2006/relationships/table" Target="/xl/tables/table45.xml" Id="R3c499a70d5f84305" /><Relationship Type="http://schemas.openxmlformats.org/officeDocument/2006/relationships/table" Target="/xl/tables/table46.xml" Id="Re219cae9202944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47.xml" Id="Rebda49ef884447ed" /><Relationship Type="http://schemas.openxmlformats.org/officeDocument/2006/relationships/table" Target="/xl/tables/table48.xml" Id="R6792d5300a44483c" /><Relationship Type="http://schemas.openxmlformats.org/officeDocument/2006/relationships/table" Target="/xl/tables/table49.xml" Id="Rf49873bad3f14866" /><Relationship Type="http://schemas.openxmlformats.org/officeDocument/2006/relationships/table" Target="/xl/tables/table50.xml" Id="R5d65deef153446b2" /><Relationship Type="http://schemas.openxmlformats.org/officeDocument/2006/relationships/table" Target="/xl/tables/table51.xml" Id="R6ec4546a3f6a422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52.xml" Id="R4242fda23b48455d" /><Relationship Type="http://schemas.openxmlformats.org/officeDocument/2006/relationships/table" Target="/xl/tables/table53.xml" Id="Rd1ba6f67c8044ea7" /><Relationship Type="http://schemas.openxmlformats.org/officeDocument/2006/relationships/table" Target="/xl/tables/table54.xml" Id="R9fc9635475934adc" /><Relationship Type="http://schemas.openxmlformats.org/officeDocument/2006/relationships/table" Target="/xl/tables/table55.xml" Id="R26817265b0bf4c8c" /><Relationship Type="http://schemas.openxmlformats.org/officeDocument/2006/relationships/table" Target="/xl/tables/table56.xml" Id="Rf6a4a29baf874d9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57.xml" Id="Ra69ea12a81d04bc5" /><Relationship Type="http://schemas.openxmlformats.org/officeDocument/2006/relationships/table" Target="/xl/tables/table58.xml" Id="Rfcdb6bf26b9f4305" /><Relationship Type="http://schemas.openxmlformats.org/officeDocument/2006/relationships/table" Target="/xl/tables/table59.xml" Id="Rf5395ce36ba546d8" /><Relationship Type="http://schemas.openxmlformats.org/officeDocument/2006/relationships/table" Target="/xl/tables/table60.xml" Id="R552d96fdc2534235" /><Relationship Type="http://schemas.openxmlformats.org/officeDocument/2006/relationships/table" Target="/xl/tables/table61.xml" Id="R9bf5fde4fbe34ba8" /><Relationship Type="http://schemas.openxmlformats.org/officeDocument/2006/relationships/table" Target="/xl/tables/table62.xml" Id="Rc5724e1f0b134f1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63.xml" Id="Rd830cc33de324661" /><Relationship Type="http://schemas.openxmlformats.org/officeDocument/2006/relationships/table" Target="/xl/tables/table64.xml" Id="Rb96ba2f67ad74eca" /><Relationship Type="http://schemas.openxmlformats.org/officeDocument/2006/relationships/table" Target="/xl/tables/table65.xml" Id="R77e717780ee54e59" /><Relationship Type="http://schemas.openxmlformats.org/officeDocument/2006/relationships/table" Target="/xl/tables/table66.xml" Id="Rf018ee5930a04e05" /><Relationship Type="http://schemas.openxmlformats.org/officeDocument/2006/relationships/table" Target="/xl/tables/table67.xml" Id="R84167d729bd34453" /><Relationship Type="http://schemas.openxmlformats.org/officeDocument/2006/relationships/table" Target="/xl/tables/table68.xml" Id="R06df1e998e714c1a" /><Relationship Type="http://schemas.openxmlformats.org/officeDocument/2006/relationships/table" Target="/xl/tables/table69.xml" Id="R690adee677f54b5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70.xml" Id="R051e637476824efc" /><Relationship Type="http://schemas.openxmlformats.org/officeDocument/2006/relationships/table" Target="/xl/tables/table71.xml" Id="Rbd2d43b76a12487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72.xml" Id="R9ae7b2b9829642ff" /><Relationship Type="http://schemas.openxmlformats.org/officeDocument/2006/relationships/table" Target="/xl/tables/table73.xml" Id="R2fea551e7f21428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74.xml" Id="R33ec6662debf4ac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75.xml" Id="R8621654c7a104f1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76.xml" Id="R52eb6ff2bd2047c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77.xml" Id="Raf5f8302b5c74734" /><Relationship Type="http://schemas.openxmlformats.org/officeDocument/2006/relationships/table" Target="/xl/tables/table78.xml" Id="R95adf78e997e46a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79.xml" Id="Rf41dc49ee43e4384" /><Relationship Type="http://schemas.openxmlformats.org/officeDocument/2006/relationships/table" Target="/xl/tables/table80.xml" Id="R048f9d66df674566" /><Relationship Type="http://schemas.openxmlformats.org/officeDocument/2006/relationships/table" Target="/xl/tables/table81.xml" Id="Rb80fead660d14efe" /><Relationship Type="http://schemas.openxmlformats.org/officeDocument/2006/relationships/table" Target="/xl/tables/table82.xml" Id="R824da059ec0c4f5b" /><Relationship Type="http://schemas.openxmlformats.org/officeDocument/2006/relationships/table" Target="/xl/tables/table83.xml" Id="R0691c3e0c8fd48f2" /><Relationship Type="http://schemas.openxmlformats.org/officeDocument/2006/relationships/table" Target="/xl/tables/table84.xml" Id="Rb69af1484dbc4138" /><Relationship Type="http://schemas.openxmlformats.org/officeDocument/2006/relationships/table" Target="/xl/tables/table85.xml" Id="R04a8551e25ce49eb" /><Relationship Type="http://schemas.openxmlformats.org/officeDocument/2006/relationships/table" Target="/xl/tables/table86.xml" Id="R941f2e733ddd474e" /><Relationship Type="http://schemas.openxmlformats.org/officeDocument/2006/relationships/table" Target="/xl/tables/table87.xml" Id="R49f3cbb562e04dab" /><Relationship Type="http://schemas.openxmlformats.org/officeDocument/2006/relationships/table" Target="/xl/tables/table88.xml" Id="R1f40954d07ac47bc" /><Relationship Type="http://schemas.openxmlformats.org/officeDocument/2006/relationships/table" Target="/xl/tables/table89.xml" Id="Rd9502ac2a9e040ea" /><Relationship Type="http://schemas.openxmlformats.org/officeDocument/2006/relationships/table" Target="/xl/tables/table90.xml" Id="R15b325f4afe44cad" /><Relationship Type="http://schemas.openxmlformats.org/officeDocument/2006/relationships/table" Target="/xl/tables/table91.xml" Id="Rbd4ad3987047415e" /><Relationship Type="http://schemas.openxmlformats.org/officeDocument/2006/relationships/table" Target="/xl/tables/table92.xml" Id="R058f39c2a41c4fb8" /><Relationship Type="http://schemas.openxmlformats.org/officeDocument/2006/relationships/table" Target="/xl/tables/table93.xml" Id="R51eecf0e34144c60" /><Relationship Type="http://schemas.openxmlformats.org/officeDocument/2006/relationships/table" Target="/xl/tables/table94.xml" Id="R0006733306e845b1" /><Relationship Type="http://schemas.openxmlformats.org/officeDocument/2006/relationships/table" Target="/xl/tables/table95.xml" Id="Rfd5d0b38b0b6421c" /><Relationship Type="http://schemas.openxmlformats.org/officeDocument/2006/relationships/table" Target="/xl/tables/table96.xml" Id="Ra651d2e3663748d2" /><Relationship Type="http://schemas.openxmlformats.org/officeDocument/2006/relationships/table" Target="/xl/tables/table97.xml" Id="R1d6754e25f9546e1" /><Relationship Type="http://schemas.openxmlformats.org/officeDocument/2006/relationships/table" Target="/xl/tables/table98.xml" Id="R8a45f87297274818" /><Relationship Type="http://schemas.openxmlformats.org/officeDocument/2006/relationships/table" Target="/xl/tables/table99.xml" Id="Rb82c15b227f04fca" /><Relationship Type="http://schemas.openxmlformats.org/officeDocument/2006/relationships/table" Target="/xl/tables/table100.xml" Id="Raf913ea156c14b03" /><Relationship Type="http://schemas.openxmlformats.org/officeDocument/2006/relationships/table" Target="/xl/tables/table101.xml" Id="R5b0002814426426a" /><Relationship Type="http://schemas.openxmlformats.org/officeDocument/2006/relationships/table" Target="/xl/tables/table102.xml" Id="Rf57162af08824d86" /><Relationship Type="http://schemas.openxmlformats.org/officeDocument/2006/relationships/table" Target="/xl/tables/table103.xml" Id="R471626f59a96435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04.xml" Id="R8a9d19279b984495" /><Relationship Type="http://schemas.openxmlformats.org/officeDocument/2006/relationships/table" Target="/xl/tables/table105.xml" Id="Rbb645d02993c4c0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06.xml" Id="R4f9b035bb072405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4" hidden="0" customWidth="1"/>
    <x:col min="8" max="8" width="24" hidden="0" customWidth="1"/>
  </x:cols>
  <x:sheetData>
    <x:row r="1" ht="30" customHeight="1">
      <x:c r="A1" s="2" t="str">
        <x:v>Rancangan menu Finance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Usulan desain 11 September 2026. Contoh transaksi bersifat ilustrasi, bukan data produksi. Satu sheet per menu; blok di dalam sheet adalah tab aplikasi.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6" customHeight="1">
      <x:c r="A5" s="10" t="str">
        <x:v>Urut</x:v>
      </x:c>
      <x:c r="B5" s="10" t="str">
        <x:v>Menu utama</x:v>
      </x:c>
      <x:c r="C5" s="10" t="str">
        <x:v>Tujuan</x:v>
      </x:c>
      <x:c r="D5" s="10" t="str">
        <x:v>Tab aplikasi</x:v>
      </x:c>
      <x:c r="E5" s="10" t="str">
        <x:v>Pengguna utama</x:v>
      </x:c>
      <x:c r="F5" s="10" t="str">
        <x:v>Sheet detail</x:v>
      </x:c>
      <x:c r="G5" s="10" t="str">
        <x:v>Keputusan review</x:v>
      </x:c>
      <x:c r="H5" s="10" t="str">
        <x:v>Catatan review</x:v>
      </x:c>
    </x:row>
    <x:row r="6" ht="102" customHeight="1">
      <x:c r="A6" s="8" t="n">
        <x:v>1</x:v>
      </x:c>
      <x:c r="B6" s="8" t="str">
        <x:v>Ringkasan</x:v>
      </x:c>
      <x:c r="C6" s="8" t="str">
        <x:v>Menentukan pekerjaan finance yang perlu didahulukan hari ini.</x:v>
      </x:c>
      <x:c r="D6" s="8" t="str">
        <x:v>Hari ini; Persetujuan saya; Pengecualian</x:v>
      </x:c>
      <x:c r="E6" s="8" t="str">
        <x:v>Finance lead dan petugas sesuai akses</x:v>
      </x:c>
      <x:c r="F6" s="8" t="str">
        <x:v>01 Ringkasan</x:v>
      </x:c>
      <x:c r="G6" s="11" t="str">
        <x:v>Belum ditinjau</x:v>
      </x:c>
      <x:c r="H6" s="11" t="str"/>
    </x:row>
    <x:row r="7" ht="102" customHeight="1">
      <x:c r="A7" s="8" t="n">
        <x:v>2</x:v>
      </x:c>
      <x:c r="B7" s="8" t="str">
        <x:v>Kas &amp; Bank</x:v>
      </x:c>
      <x:c r="C7" s="8" t="str">
        <x:v>Mengelola posisi kas, eksekusi uang masuk/keluar dan pencocokan bank.</x:v>
      </x:c>
      <x:c r="D7" s="8" t="str">
        <x:v>Rekening &amp; kas; Pembayaran &amp; penerimaan; Transfer &amp; kas kecil; Giro; Rekonsiliasi</x:v>
      </x:c>
      <x:c r="E7" s="8" t="str">
        <x:v>Treasury dan kasir</x:v>
      </x:c>
      <x:c r="F7" s="8" t="str">
        <x:v>02 Kas dan Bank</x:v>
      </x:c>
      <x:c r="G7" s="11" t="str">
        <x:v>Belum ditinjau</x:v>
      </x:c>
      <x:c r="H7" s="11" t="str"/>
    </x:row>
    <x:row r="8" ht="102" customHeight="1">
      <x:c r="A8" s="8" t="n">
        <x:v>3</x:v>
      </x:c>
      <x:c r="B8" s="8" t="str">
        <x:v>Tagihan &amp; Pengeluaran</x:v>
      </x:c>
      <x:c r="C8" s="8" t="str">
        <x:v>Mengelola kewajiban vendor dan pengeluaran sebelum eksekusi pembayaran.</x:v>
      </x:c>
      <x:c r="D8" s="8" t="str">
        <x:v>Tagihan; Klaim &amp; pengeluaran; Uang muka; Biaya dibayar di muka</x:v>
      </x:c>
      <x:c r="E8" s="8" t="str">
        <x:v>Accounts payable dan pemilik biaya</x:v>
      </x:c>
      <x:c r="F8" s="8" t="str">
        <x:v>03 Tagihan dan Pengeluaran</x:v>
      </x:c>
      <x:c r="G8" s="11" t="str">
        <x:v>Belum ditinjau</x:v>
      </x:c>
      <x:c r="H8" s="11" t="str"/>
    </x:row>
    <x:row r="9" ht="102" customHeight="1">
      <x:c r="A9" s="8" t="n">
        <x:v>4</x:v>
      </x:c>
      <x:c r="B9" s="8" t="str">
        <x:v>Penjualan &amp; Piutang</x:v>
      </x:c>
      <x:c r="C9" s="8" t="str">
        <x:v>Mengontrol pendapatan, tagihan pelanggan dan penerimaan dari kanal penjualan.</x:v>
      </x:c>
      <x:c r="D9" s="8" t="str">
        <x:v>Penjualan; Tagihan &amp; piutang; Settlement kanal; Uang muka &amp; pengembalian</x:v>
      </x:c>
      <x:c r="E9" s="8" t="str">
        <x:v>Accounts receivable dan finance toko</x:v>
      </x:c>
      <x:c r="F9" s="8" t="str">
        <x:v>04 Penjualan dan Piutang</x:v>
      </x:c>
      <x:c r="G9" s="11" t="str">
        <x:v>Belum ditinjau</x:v>
      </x:c>
      <x:c r="H9" s="11" t="str"/>
    </x:row>
    <x:row r="10" ht="102" customHeight="1">
      <x:c r="A10" s="8" t="n">
        <x:v>5</x:v>
      </x:c>
      <x:c r="B10" s="8" t="str">
        <x:v>Persediaan</x:v>
      </x:c>
      <x:c r="C10" s="8" t="str">
        <x:v>Mengontrol nilai persediaan, selisih fisik dan dampak keuangan pergerakan barang.</x:v>
      </x:c>
      <x:c r="D10" s="8" t="str">
        <x:v>Saldo &amp; mutasi; Penerimaan &amp; pemakaian; Dalam perjalanan; Opname &amp; penyesuaian</x:v>
      </x:c>
      <x:c r="E10" s="8" t="str">
        <x:v>Finance persediaan bersama gudang/toko</x:v>
      </x:c>
      <x:c r="F10" s="8" t="str">
        <x:v>05 Persediaan</x:v>
      </x:c>
      <x:c r="G10" s="11" t="str">
        <x:v>Belum ditinjau</x:v>
      </x:c>
      <x:c r="H10" s="11" t="str"/>
    </x:row>
    <x:row r="11" ht="102" customHeight="1">
      <x:c r="A11" s="8" t="n">
        <x:v>6</x:v>
      </x:c>
      <x:c r="B11" s="8" t="str">
        <x:v>Antarunit</x:v>
      </x:c>
      <x:c r="C11" s="8" t="str">
        <x:v>Mencocokkan dan menyelesaikan saldo antarunit atau afiliasi menurut jenis hubungan.</x:v>
      </x:c>
      <x:c r="D11" s="8" t="str">
        <x:v>Saldo &amp; pasangan; Transaksi; Penyelesaian; Rekonsiliasi</x:v>
      </x:c>
      <x:c r="E11" s="8" t="str">
        <x:v>Finance HO dan finance unit</x:v>
      </x:c>
      <x:c r="F11" s="8" t="str">
        <x:v>06 Antarunit</x:v>
      </x:c>
      <x:c r="G11" s="11" t="str">
        <x:v>Belum ditinjau</x:v>
      </x:c>
      <x:c r="H11" s="11" t="str"/>
    </x:row>
    <x:row r="12" ht="102" customHeight="1">
      <x:c r="A12" s="8" t="n">
        <x:v>7</x:v>
      </x:c>
      <x:c r="B12" s="8" t="str">
        <x:v>Aset &amp; Proyek</x:v>
      </x:c>
      <x:c r="C12" s="8" t="str">
        <x:v>Mengelola biaya pembangunan, kapitalisasi, umur manfaat dan pelepasan aset.</x:v>
      </x:c>
      <x:c r="D12" s="8" t="str">
        <x:v>Daftar aset; Proyek berjalan; Penyusutan &amp; amortisasi; Transfer &amp; pelepasan</x:v>
      </x:c>
      <x:c r="E12" s="8" t="str">
        <x:v>Akuntan aset dan pemilik proyek</x:v>
      </x:c>
      <x:c r="F12" s="8" t="str">
        <x:v>07 Aset dan Proyek</x:v>
      </x:c>
      <x:c r="G12" s="11" t="str">
        <x:v>Belum ditinjau</x:v>
      </x:c>
      <x:c r="H12" s="11" t="str"/>
    </x:row>
    <x:row r="13" ht="102" customHeight="1">
      <x:c r="A13" s="8" t="n">
        <x:v>8</x:v>
      </x:c>
      <x:c r="B13" s="8" t="str">
        <x:v>Payroll</x:v>
      </x:c>
      <x:c r="C13" s="8" t="str">
        <x:v>Menyelesaikan kewajiban pegawai berdasarkan payroll yang disetujui HR.</x:v>
      </x:c>
      <x:c r="D13" s="8" t="str">
        <x:v>Batch payroll; Kewajiban &amp; pembayaran; Pinjaman pegawai; Rekonsiliasi payroll</x:v>
      </x:c>
      <x:c r="E13" s="8" t="str">
        <x:v>Finance payroll dengan akses terbatas</x:v>
      </x:c>
      <x:c r="F13" s="8" t="str">
        <x:v>08 Payroll</x:v>
      </x:c>
      <x:c r="G13" s="11" t="str">
        <x:v>Belum ditinjau</x:v>
      </x:c>
      <x:c r="H13" s="11" t="str"/>
    </x:row>
    <x:row r="14" ht="102" customHeight="1">
      <x:c r="A14" s="8" t="n">
        <x:v>9</x:v>
      </x:c>
      <x:c r="B14" s="8" t="str">
        <x:v>Pajak</x:v>
      </x:c>
      <x:c r="C14" s="8" t="str">
        <x:v>Mengontrol dokumen, kewajiban, pembayaran dan pelaporan pajak.</x:v>
      </x:c>
      <x:c r="D14" s="8" t="str">
        <x:v>Kewajiban; Dokumen pajak; Pembayaran; Pelaporan</x:v>
      </x:c>
      <x:c r="E14" s="8" t="str">
        <x:v>Tim pajak</x:v>
      </x:c>
      <x:c r="F14" s="8" t="str">
        <x:v>09 Pajak</x:v>
      </x:c>
      <x:c r="G14" s="11" t="str">
        <x:v>Belum ditinjau</x:v>
      </x:c>
      <x:c r="H14" s="11" t="str"/>
    </x:row>
    <x:row r="15" ht="102" customHeight="1">
      <x:c r="A15" s="8" t="n">
        <x:v>10</x:v>
      </x:c>
      <x:c r="B15" s="8" t="str">
        <x:v>Pendanaan &amp; Modal</x:v>
      </x:c>
      <x:c r="C15" s="8" t="str">
        <x:v>Mengelola pinjaman eksternal dan transaksi pemilik, dengan register yang terpisah.</x:v>
      </x:c>
      <x:c r="D15" s="8" t="str">
        <x:v>Pinjaman; Angsuran &amp; biaya; Modal &amp; distribusi; Perubahan ekuitas</x:v>
      </x:c>
      <x:c r="E15" s="8" t="str">
        <x:v>Treasury untuk pinjaman; akuntan untuk modal</x:v>
      </x:c>
      <x:c r="F15" s="8" t="str">
        <x:v>10 Pendanaan dan Modal</x:v>
      </x:c>
      <x:c r="G15" s="11" t="str">
        <x:v>Belum ditinjau</x:v>
      </x:c>
      <x:c r="H15" s="11" t="str"/>
    </x:row>
    <x:row r="16" ht="102" customHeight="1">
      <x:c r="A16" s="8" t="n">
        <x:v>11</x:v>
      </x:c>
      <x:c r="B16" s="8" t="str">
        <x:v>Akuntansi &amp; Tutup Buku</x:v>
      </x:c>
      <x:c r="C16" s="8" t="str">
        <x:v>Mengontrol jurnal, pengakuan periodik, rekonsiliasi dan penutupan periode.</x:v>
      </x:c>
      <x:c r="D16" s="8" t="str">
        <x:v>Jurnal; Pengakuan periodik; Rekonsiliasi akun; Tutup periode</x:v>
      </x:c>
      <x:c r="E16" s="8" t="str">
        <x:v>Akuntan dan controller</x:v>
      </x:c>
      <x:c r="F16" s="8" t="str">
        <x:v>11 Akuntansi dan Tutup Buku</x:v>
      </x:c>
      <x:c r="G16" s="11" t="str">
        <x:v>Belum ditinjau</x:v>
      </x:c>
      <x:c r="H16" s="11" t="str"/>
    </x:row>
    <x:row r="17" ht="102" customHeight="1">
      <x:c r="A17" s="8" t="n">
        <x:v>12</x:v>
      </x:c>
      <x:c r="B17" s="8" t="str">
        <x:v>Laporan</x:v>
      </x:c>
      <x:c r="C17" s="8" t="str">
        <x:v>Menyajikan hasil dari buku besar dan register yang dapat ditelusuri ke sumber.</x:v>
      </x:c>
      <x:c r="D17" s="8" t="str">
        <x:v>Laporan keuangan; Buku besar &amp; neraca saldo; Operasional finance; Konsolidasi</x:v>
      </x:c>
      <x:c r="E17" s="8" t="str">
        <x:v>Manajemen dan finance sesuai akses</x:v>
      </x:c>
      <x:c r="F17" s="8" t="str">
        <x:v>12 Laporan</x:v>
      </x:c>
      <x:c r="G17" s="11" t="str">
        <x:v>Belum ditinjau</x:v>
      </x:c>
      <x:c r="H17" s="11" t="str"/>
    </x:row>
    <x:row r="18" ht="102" customHeight="1">
      <x:c r="A18" s="8" t="n">
        <x:v>13</x:v>
      </x:c>
      <x:c r="B18" s="8" t="str">
        <x:v>Pengaturan Finance</x:v>
      </x:c>
      <x:c r="C18" s="8" t="str">
        <x:v>Memelihara master, aturan dan akses yang digunakan seluruh menu.</x:v>
      </x:c>
      <x:c r="D18" s="8" t="str">
        <x:v>COA; Pemetaan transaksi; Rekening &amp; pihak; Kebijakan &amp; jadwal; Akses &amp; persetujuan; Riwayat perubahan</x:v>
      </x:c>
      <x:c r="E18" s="8" t="str">
        <x:v>Admin finance dengan reviewer berwenang</x:v>
      </x:c>
      <x:c r="F18" s="8" t="str">
        <x:v>13 Pengaturan Finance</x:v>
      </x:c>
      <x:c r="G18" s="11" t="str">
        <x:v>Belum ditinjau</x:v>
      </x:c>
      <x:c r="H18" s="11" t="str"/>
    </x:row>
    <x:row r="20" ht="40" customHeight="1">
      <x:c r="A20" s="15" t="str">
        <x:v>Cara membaca</x:v>
      </x:c>
      <x:c r="B20" s="14" t="str">
        <x:v>Mulai dari menu utama, buka sheet detail, lalu lihat setiap blok tab: tujuan, filter, contoh tabel, aksi, status, panel detail dan hubungan antarmenu.</x:v>
      </x:c>
      <x:c r="C20" s="14"/>
      <x:c r="D20" s="14"/>
      <x:c r="E20" s="14"/>
      <x:c r="F20" s="14"/>
      <x:c r="G20" s="14"/>
      <x:c r="H20" s="14"/>
    </x:row>
    <x:row r="21" ht="40" customHeight="1">
      <x:c r="A21" s="15" t="str">
        <x:v>Makna rancangan</x:v>
      </x:c>
      <x:c r="B21" s="14" t="str">
        <x:v>Ini target desain yang diusulkan berdasarkan audit COA dan prototipe. Nama tab, status dan kontrol baru tidak menyatakan fitur tersebut sudah tersedia.</x:v>
      </x:c>
      <x:c r="C21" s="14"/>
      <x:c r="D21" s="14"/>
      <x:c r="E21" s="14"/>
      <x:c r="F21" s="14"/>
      <x:c r="G21" s="14"/>
      <x:c r="H21" s="14"/>
    </x:row>
    <x:row r="22" ht="40" customHeight="1">
      <x:c r="A22" s="15" t="str">
        <x:v>Bentuk tampilan</x:v>
      </x:c>
      <x:c r="B22" s="14" t="str">
        <x:v>Halaman aplikasi: judul dan aksi utama, filter unit/periode, ringkasan, baris tab, filter tab, tabel, lalu panel detail. Excel menampilkan susunan dan isi, bukan aplikasi yang bisa diklik.</x:v>
      </x:c>
      <x:c r="C22" s="14"/>
      <x:c r="D22" s="14"/>
      <x:c r="E22" s="14"/>
      <x:c r="F22" s="14"/>
      <x:c r="G22" s="14"/>
      <x:c r="H22" s="14"/>
    </x:row>
    <x:row r="23" ht="40" customHeight="1">
      <x:c r="A23" s="15" t="str">
        <x:v>Batas cakupan</x:v>
      </x:c>
      <x:c r="B23" s="14" t="str">
        <x:v>Rancangan mencakup finance untuk penjualan, pembelian, persediaan, antarunit, aset, payroll, pajak dan pendanaan. Operasi POS, pembelian, HR dan gudang tetap menjadi sumber bisnis.</x:v>
      </x:c>
      <x:c r="C23" s="14"/>
      <x:c r="D23" s="14"/>
      <x:c r="E23" s="14"/>
      <x:c r="F23" s="14"/>
      <x:c r="G23" s="14"/>
      <x:c r="H23" s="14"/>
    </x:row>
    <x:row r="24" ht="40" customHeight="1">
      <x:c r="A24" s="15" t="str">
        <x:v>Review</x:v>
      </x:c>
      <x:c r="B24" s="14" t="str">
        <x:v>Kolom kuning dapat diisi keputusan dan catatan. Tidak ada perubahan aplikasi, kebijakan pajak, atau transaksi nyata dari workbook ini.</x:v>
      </x:c>
      <x:c r="C24" s="14"/>
      <x:c r="D24" s="14"/>
      <x:c r="E24" s="14"/>
      <x:c r="F24" s="14"/>
      <x:c r="G24" s="14"/>
      <x:c r="H24" s="14"/>
    </x:row>
    <x:row r="27" ht="42" customHeight="1">
      <x:c r="A27" s="15" t="str">
        <x:v>Tambahan lengkap</x:v>
      </x:c>
      <x:c r="B27" s="14" t="str">
        <x:v>Sheet 16–22 memuat sidebar detail untuk 54 tab, tombol beserta syarat/status, 35 form dan field, 25 subtable, aturan edit serta contoh layar detail, form tagihan dan pembayaran. Struktur 13 menu tetap sama.</x:v>
      </x:c>
      <x:c r="C27" s="14"/>
      <x:c r="D27" s="14"/>
      <x:c r="E27" s="14"/>
      <x:c r="F27" s="14"/>
      <x:c r="G27" s="14"/>
      <x:c r="H27" s="14"/>
    </x:row>
    <x:row r="28" ht="42" customHeight="1">
      <x:c r="A28" s="15" t="str">
        <x:v>Cara mencoba</x:v>
      </x:c>
      <x:c r="B28" s="14" t="str">
        <x:v>Di sheet 20, input kuning S03/S06/S20 dapat diubah untuk melihat contoh alokasi, neto baris dan keseimbangan jurnal. Itu ilustrasi Excel, bukan eksekusi transaksi aplikasi.</x:v>
      </x:c>
      <x:c r="C28" s="14"/>
      <x:c r="D28" s="14"/>
      <x:c r="E28" s="14"/>
      <x:c r="F28" s="14"/>
      <x:c r="G28" s="14"/>
      <x:c r="H28" s="14"/>
    </x:row>
  </x:sheetData>
  <x:mergeCells>
    <x:mergeCell ref="A1:H1"/>
    <x:mergeCell ref="A2:H3"/>
    <x:mergeCell ref="B20:H20"/>
    <x:mergeCell ref="B21:H21"/>
    <x:mergeCell ref="B22:H22"/>
    <x:mergeCell ref="B23:H23"/>
    <x:mergeCell ref="B24:H24"/>
    <x:mergeCell ref="B27:H27"/>
    <x:mergeCell ref="B28:H28"/>
  </x:mergeCells>
  <x:dataValidations count="1">
    <x:dataValidation type="list" sqref="G6:G18">
      <x:formula1>"Belum ditinjau,Setuju,Perlu revisi"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2178e79b4e4f1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Ringkasan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Menentukan pekerjaan finance yang perlu didahulukan hari ini.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Finance lead dan petugas sesuai akses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Menampilkan antrean dari menu sumber. Persetujuan membuka dokumen sumber yang sama.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Saldo tersedia; pembayaran jatuh tempo; settlement tertunda; selisih rekonsiliasi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Angka gabungan harus mencakup unit yang dipilih; laporan saat ini belum mencakup semua unit.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Hari ini — tab awal</x:v>
      </x:c>
      <x:c r="B11" s="17" t="str">
        <x:v>1. Hari ini — tab awal</x:v>
      </x:c>
      <x:c r="C11" s="17" t="str">
        <x:v>1. Hari ini — tab awal</x:v>
      </x:c>
      <x:c r="D11" s="17" t="str">
        <x:v>1. Hari ini — tab awal</x:v>
      </x:c>
      <x:c r="E11" s="17" t="str">
        <x:v>1. Hari ini — tab awal</x:v>
      </x:c>
      <x:c r="F11" s="17" t="str">
        <x:v>1. Hari ini — tab awal</x:v>
      </x:c>
      <x:c r="G11" s="17" t="str">
        <x:v>1. Hari ini — tab awal</x:v>
      </x:c>
      <x:c r="H11" s="17" t="str">
        <x:v>1. Hari ini — tab awal</x:v>
      </x:c>
    </x:row>
    <x:row r="12" ht="32" customHeight="1">
      <x:c r="A12" s="15" t="str">
        <x:v>Tujuan tab</x:v>
      </x:c>
      <x:c r="B12" s="14" t="str">
        <x:v>Daftar prioritas dan ringkasan posisi kas.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Tanggal kerja; unit; penanggung jawab; jenis pekerjaan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Prioritas</x:v>
      </x:c>
      <x:c r="B14" s="10" t="str">
        <x:v>Pekerjaan</x:v>
      </x:c>
      <x:c r="C14" s="10" t="str">
        <x:v>Unit</x:v>
      </x:c>
      <x:c r="D14" s="10" t="str">
        <x:v>Referensi</x:v>
      </x:c>
      <x:c r="E14" s="10" t="str">
        <x:v>Nilai Rp</x:v>
      </x:c>
      <x:c r="F14" s="10" t="str">
        <x:v>Batas waktu</x:v>
      </x:c>
      <x:c r="G14" s="10" t="str">
        <x:v>Penanggung jawab</x:v>
      </x:c>
      <x:c r="H14" s="10" t="str">
        <x:v>Aksi</x:v>
      </x:c>
    </x:row>
    <x:row r="15" ht="48" customHeight="1">
      <x:c r="A15" s="8" t="str">
        <x:v>Tinggi</x:v>
      </x:c>
      <x:c r="B15" s="8" t="str">
        <x:v>Tagihan jatuh tempo</x:v>
      </x:c>
      <x:c r="C15" s="8" t="str">
        <x:v>HO</x:v>
      </x:c>
      <x:c r="D15" s="8" t="str">
        <x:v>BILL-003</x:v>
      </x:c>
      <x:c r="E15" s="18" t="n">
        <x:v>5000000</x:v>
      </x:c>
      <x:c r="F15" s="19" t="n">
        <x:v>46276</x:v>
      </x:c>
      <x:c r="G15" s="8" t="str">
        <x:v>AP</x:v>
      </x:c>
      <x:c r="H15" s="8" t="str">
        <x:v>Buka tagihan</x:v>
      </x:c>
    </x:row>
    <x:row r="16" ht="48" customHeight="1">
      <x:c r="A16" s="8" t="str">
        <x:v>Tinggi</x:v>
      </x:c>
      <x:c r="B16" s="8" t="str">
        <x:v>Settlement belum cocok</x:v>
      </x:c>
      <x:c r="C16" s="8" t="str">
        <x:v>C006</x:v>
      </x:c>
      <x:c r="D16" s="8" t="str">
        <x:v>SET-002</x:v>
      </x:c>
      <x:c r="E16" s="18" t="n">
        <x:v>970000</x:v>
      </x:c>
      <x:c r="F16" s="19" t="n">
        <x:v>46276</x:v>
      </x:c>
      <x:c r="G16" s="8" t="str">
        <x:v>Treasury</x:v>
      </x:c>
      <x:c r="H16" s="8" t="str">
        <x:v>Buka settlement</x:v>
      </x:c>
    </x:row>
    <x:row r="18" ht="32" customHeight="1">
      <x:c r="A18" s="15" t="str">
        <x:v>Tombol / tindakan</x:v>
      </x:c>
      <x:c r="B18" s="14" t="str">
        <x:v>Buka dokumen; ambil pekerjaan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Status dokumen</x:v>
      </x:c>
      <x:c r="B19" s="14" t="str">
        <x:v>Perlu tindakan; sedang ditangani; selesai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Saat baris dibuka</x:v>
      </x:c>
      <x:c r="B20" s="14" t="str">
        <x:v>Ringkasan penyebab, dokumen sumber, tenggat dan riwayat. Tidak ada form posting baru.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Alur</x:v>
      </x:c>
      <x:c r="B21" s="14" t="str">
        <x:v>Antrean → menu pemilik → penyelesaian → ringkasan diperbarui</x:v>
      </x:c>
      <x:c r="C21" s="14"/>
      <x:c r="D21" s="14"/>
      <x:c r="E21" s="14"/>
      <x:c r="F21" s="14"/>
      <x:c r="G21" s="14"/>
      <x:c r="H21" s="14"/>
    </x:row>
    <x:row r="22" ht="32" customHeight="1">
      <x:c r="A22" s="15" t="str">
        <x:v>Tampilan kosong</x:v>
      </x:c>
      <x:c r="B22" s="14" t="str">
        <x:v>Tampilkan “Belum ada data sesuai filter”, pilihan hapus filter, dan aksi membuat/mengambil data hanya bila pengguna berwenang.</x:v>
      </x:c>
      <x:c r="C22" s="14"/>
      <x:c r="D22" s="14"/>
      <x:c r="E22" s="14"/>
      <x:c r="F22" s="14"/>
      <x:c r="G22" s="14"/>
      <x:c r="H22" s="14"/>
    </x:row>
    <x:row r="25" ht="27" customHeight="1">
      <x:c r="A25" s="17" t="str">
        <x:v>2. Persetujuan saya</x:v>
      </x:c>
      <x:c r="B25" s="17" t="str">
        <x:v>2. Persetujuan saya</x:v>
      </x:c>
      <x:c r="C25" s="17" t="str">
        <x:v>2. Persetujuan saya</x:v>
      </x:c>
      <x:c r="D25" s="17" t="str">
        <x:v>2. Persetujuan saya</x:v>
      </x:c>
      <x:c r="E25" s="17" t="str">
        <x:v>2. Persetujuan saya</x:v>
      </x:c>
      <x:c r="F25" s="17" t="str">
        <x:v>2. Persetujuan saya</x:v>
      </x:c>
      <x:c r="G25" s="17" t="str">
        <x:v>2. Persetujuan saya</x:v>
      </x:c>
      <x:c r="H25" s="17" t="str">
        <x:v>2. Persetujuan saya</x:v>
      </x:c>
    </x:row>
    <x:row r="26" ht="32" customHeight="1">
      <x:c r="A26" s="15" t="str">
        <x:v>Tujuan tab</x:v>
      </x:c>
      <x:c r="B26" s="14" t="str">
        <x:v>Persetujuan lintas pekerjaan sesuai kewenangan.</x:v>
      </x:c>
      <x:c r="C26" s="14"/>
      <x:c r="D26" s="14"/>
      <x:c r="E26" s="14"/>
      <x:c r="F26" s="14"/>
      <x:c r="G26" s="14"/>
      <x:c r="H26" s="14"/>
    </x:row>
    <x:row r="27" ht="32" customHeight="1">
      <x:c r="A27" s="15" t="str">
        <x:v>Filter</x:v>
      </x:c>
      <x:c r="B27" s="14" t="str">
        <x:v>Jenis dokumen; pengaju; umur antrean</x:v>
      </x:c>
      <x:c r="C27" s="14"/>
      <x:c r="D27" s="14"/>
      <x:c r="E27" s="14"/>
      <x:c r="F27" s="14"/>
      <x:c r="G27" s="14"/>
      <x:c r="H27" s="14"/>
    </x:row>
    <x:row r="28" ht="36" customHeight="1">
      <x:c r="A28" s="10" t="str">
        <x:v>Dokumen</x:v>
      </x:c>
      <x:c r="B28" s="10" t="str">
        <x:v>Jenis</x:v>
      </x:c>
      <x:c r="C28" s="10" t="str">
        <x:v>Unit</x:v>
      </x:c>
      <x:c r="D28" s="10" t="str">
        <x:v>Pengaju</x:v>
      </x:c>
      <x:c r="E28" s="10" t="str">
        <x:v>Nilai Rp</x:v>
      </x:c>
      <x:c r="F28" s="10" t="str">
        <x:v>Diajukan</x:v>
      </x:c>
      <x:c r="G28" s="10" t="str">
        <x:v>Tahap</x:v>
      </x:c>
      <x:c r="H28" s="10" t="str">
        <x:v>Aksi</x:v>
      </x:c>
    </x:row>
    <x:row r="29" ht="48" customHeight="1">
      <x:c r="A29" s="8" t="str">
        <x:v>BILL-002</x:v>
      </x:c>
      <x:c r="B29" s="8" t="str">
        <x:v>Tagihan vendor</x:v>
      </x:c>
      <x:c r="C29" s="8" t="str">
        <x:v>C006</x:v>
      </x:c>
      <x:c r="D29" s="8" t="str">
        <x:v>Petugas AP</x:v>
      </x:c>
      <x:c r="E29" s="18" t="n">
        <x:v>2500000</x:v>
      </x:c>
      <x:c r="F29" s="19" t="n">
        <x:v>46275</x:v>
      </x:c>
      <x:c r="G29" s="8" t="str">
        <x:v>Menunggu reviewer</x:v>
      </x:c>
      <x:c r="H29" s="8" t="str">
        <x:v>Buka review</x:v>
      </x:c>
    </x:row>
    <x:row r="31" ht="32" customHeight="1">
      <x:c r="A31" s="15" t="str">
        <x:v>Tombol / tindakan</x:v>
      </x:c>
      <x:c r="B31" s="14" t="str">
        <x:v>Buka review; setujui; kembalikan dengan alasan</x:v>
      </x:c>
      <x:c r="C31" s="14"/>
      <x:c r="D31" s="14"/>
      <x:c r="E31" s="14"/>
      <x:c r="F31" s="14"/>
      <x:c r="G31" s="14"/>
      <x:c r="H31" s="14"/>
    </x:row>
    <x:row r="32" ht="32" customHeight="1">
      <x:c r="A32" s="15" t="str">
        <x:v>Status dokumen</x:v>
      </x:c>
      <x:c r="B32" s="14" t="str">
        <x:v>Menunggu; disetujui; dikembalikan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Saat baris dibuka</x:v>
      </x:c>
      <x:c r="B33" s="14" t="str">
        <x:v>Lampiran, rincian biaya, perubahan sejak pengajuan, dampak jurnal dan otorisasi. Aksi sesuai jenis dokumen.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Alur</x:v>
      </x:c>
      <x:c r="B34" s="14" t="str">
        <x:v>Dokumen sumber → review di konteks sumber → kembali ke antrean</x:v>
      </x:c>
      <x:c r="C34" s="14"/>
      <x:c r="D34" s="14"/>
      <x:c r="E34" s="14"/>
      <x:c r="F34" s="14"/>
      <x:c r="G34" s="14"/>
      <x:c r="H34" s="14"/>
    </x:row>
    <x:row r="35" ht="32" customHeight="1">
      <x:c r="A35" s="15" t="str">
        <x:v>Tampilan kosong</x:v>
      </x:c>
      <x:c r="B35" s="14" t="str">
        <x:v>Tampilkan “Belum ada data sesuai filter”, pilihan hapus filter, dan aksi membuat/mengambil data hanya bila pengguna berwenang.</x:v>
      </x:c>
      <x:c r="C35" s="14"/>
      <x:c r="D35" s="14"/>
      <x:c r="E35" s="14"/>
      <x:c r="F35" s="14"/>
      <x:c r="G35" s="14"/>
      <x:c r="H35" s="14"/>
    </x:row>
    <x:row r="38" ht="27" customHeight="1">
      <x:c r="A38" s="17" t="str">
        <x:v>3. Pengecualian</x:v>
      </x:c>
      <x:c r="B38" s="17" t="str">
        <x:v>3. Pengecualian</x:v>
      </x:c>
      <x:c r="C38" s="17" t="str">
        <x:v>3. Pengecualian</x:v>
      </x:c>
      <x:c r="D38" s="17" t="str">
        <x:v>3. Pengecualian</x:v>
      </x:c>
      <x:c r="E38" s="17" t="str">
        <x:v>3. Pengecualian</x:v>
      </x:c>
      <x:c r="F38" s="17" t="str">
        <x:v>3. Pengecualian</x:v>
      </x:c>
      <x:c r="G38" s="17" t="str">
        <x:v>3. Pengecualian</x:v>
      </x:c>
      <x:c r="H38" s="17" t="str">
        <x:v>3. Pengecualian</x:v>
      </x:c>
    </x:row>
    <x:row r="39" ht="32" customHeight="1">
      <x:c r="A39" s="15" t="str">
        <x:v>Tujuan tab</x:v>
      </x:c>
      <x:c r="B39" s="14" t="str">
        <x:v>Masalah yang menghambat transaksi atau penutupan.</x:v>
      </x:c>
      <x:c r="C39" s="14"/>
      <x:c r="D39" s="14"/>
      <x:c r="E39" s="14"/>
      <x:c r="F39" s="14"/>
      <x:c r="G39" s="14"/>
      <x:c r="H39" s="14"/>
    </x:row>
    <x:row r="40" ht="32" customHeight="1">
      <x:c r="A40" s="15" t="str">
        <x:v>Filter</x:v>
      </x:c>
      <x:c r="B40" s="14" t="str">
        <x:v>Kategori; unit; status; tanggal ditemukan</x:v>
      </x:c>
      <x:c r="C40" s="14"/>
      <x:c r="D40" s="14"/>
      <x:c r="E40" s="14"/>
      <x:c r="F40" s="14"/>
      <x:c r="G40" s="14"/>
      <x:c r="H40" s="14"/>
    </x:row>
    <x:row r="41" ht="36" customHeight="1">
      <x:c r="A41" s="10" t="str">
        <x:v>Kasus</x:v>
      </x:c>
      <x:c r="B41" s="10" t="str">
        <x:v>Jenis masalah</x:v>
      </x:c>
      <x:c r="C41" s="10" t="str">
        <x:v>Unit</x:v>
      </x:c>
      <x:c r="D41" s="10" t="str">
        <x:v>Referensi</x:v>
      </x:c>
      <x:c r="E41" s="10" t="str">
        <x:v>Ditemukan</x:v>
      </x:c>
      <x:c r="F41" s="10" t="str">
        <x:v>Penanggung jawab</x:v>
      </x:c>
      <x:c r="G41" s="10" t="str">
        <x:v>Status</x:v>
      </x:c>
      <x:c r="H41" s="10" t="str">
        <x:v>Aksi</x:v>
      </x:c>
    </x:row>
    <x:row r="42" ht="48" customHeight="1">
      <x:c r="A42" s="8" t="str">
        <x:v>EX-001</x:v>
      </x:c>
      <x:c r="B42" s="8" t="str">
        <x:v>Pemetaan bank belum ada</x:v>
      </x:c>
      <x:c r="C42" s="8" t="str">
        <x:v>HO</x:v>
      </x:c>
      <x:c r="D42" s="8" t="str">
        <x:v>GIRO-001</x:v>
      </x:c>
      <x:c r="E42" s="19" t="n">
        <x:v>46276</x:v>
      </x:c>
      <x:c r="F42" s="8" t="str">
        <x:v>Admin finance</x:v>
      </x:c>
      <x:c r="G42" s="8" t="str">
        <x:v>Terbuka</x:v>
      </x:c>
      <x:c r="H42" s="8" t="str">
        <x:v>Periksa pemetaan</x:v>
      </x:c>
    </x:row>
    <x:row r="44" ht="32" customHeight="1">
      <x:c r="A44" s="15" t="str">
        <x:v>Tombol / tindakan</x:v>
      </x:c>
      <x:c r="B44" s="14" t="str">
        <x:v>Buka sumber; tugaskan; tandai selesai setelah bukti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Status dokumen</x:v>
      </x:c>
      <x:c r="B45" s="14" t="str">
        <x:v>Terbuka; ditangani; teratasi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Saat baris dibuka</x:v>
      </x:c>
      <x:c r="B46" s="14" t="str">
        <x:v>Penyebab, dampak, bukti perbaikan, sumber transaksi. Status teratasi harus mengikuti hasil perbaikan.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Alur</x:v>
      </x:c>
      <x:c r="B47" s="14" t="str">
        <x:v>Deteksi masalah → owner terkait → verifikasi → tutup kasus</x:v>
      </x:c>
      <x:c r="C47" s="14"/>
      <x:c r="D47" s="14"/>
      <x:c r="E47" s="14"/>
      <x:c r="F47" s="14"/>
      <x:c r="G47" s="14"/>
      <x:c r="H47" s="14"/>
    </x:row>
    <x:row r="48" ht="32" customHeight="1">
      <x:c r="A48" s="15" t="str">
        <x:v>Tampilan kosong</x:v>
      </x:c>
      <x:c r="B48" s="14" t="str">
        <x:v>Tampilkan “Belum ada data sesuai filter”, pilihan hapus filter, dan aksi membuat/mengambil data hanya bila pengguna berwenang.</x:v>
      </x:c>
      <x:c r="C48" s="14"/>
      <x:c r="D48" s="14"/>
      <x:c r="E48" s="14"/>
      <x:c r="F48" s="14"/>
      <x:c r="G48" s="14"/>
      <x:c r="H48" s="14"/>
    </x:row>
    <x:row r="51" ht="28" customHeight="1">
      <x:c r="A51" s="27" t="str">
        <x:v>Detail sidebar, tombol, form dan tabel anak</x:v>
      </x:c>
      <x:c r="B51" s="27" t="str">
        <x:v>Detail sidebar, tombol, form dan tabel anak</x:v>
      </x:c>
      <x:c r="C51" s="27" t="str">
        <x:v>Detail sidebar, tombol, form dan tabel anak</x:v>
      </x:c>
      <x:c r="D51" s="27" t="str">
        <x:v>Detail sidebar, tombol, form dan tabel anak</x:v>
      </x:c>
      <x:c r="E51" s="27" t="str">
        <x:v>Detail sidebar, tombol, form dan tabel anak</x:v>
      </x:c>
      <x:c r="F51" s="27" t="str">
        <x:v>Detail sidebar, tombol, form dan tabel anak</x:v>
      </x:c>
      <x:c r="G51" s="27" t="str">
        <x:v>Detail sidebar, tombol, form dan tabel anak</x:v>
      </x:c>
      <x:c r="H51" s="27" t="str">
        <x:v>Detail sidebar, tombol, form dan tabel anak</x:v>
      </x:c>
    </x:row>
    <x:row r="52" ht="38" customHeight="1">
      <x:c r="A52" s="25" t="str">
        <x:v>Tab</x:v>
      </x:c>
      <x:c r="B52" s="25" t="str">
        <x:v>Sidebar detail</x:v>
      </x:c>
      <x:c r="C52" s="25" t="str">
        <x:v>Tombol</x:v>
      </x:c>
      <x:c r="D52" s="25" t="str">
        <x:v>Form</x:v>
      </x:c>
      <x:c r="E52" s="25" t="str">
        <x:v>Tabel anak</x:v>
      </x:c>
      <x:c r="F52" s="25" t="str">
        <x:v>Bentuk layar</x:v>
      </x:c>
    </x:row>
    <x:row r="53" ht="86" customHeight="1">
      <x:c r="A53" s="8" t="str">
        <x:v>Hari ini</x:v>
      </x:c>
      <x:c r="B53" s="8" t="str">
        <x:v>Sheet 16: Hari ini</x:v>
      </x:c>
      <x:c r="C53" s="8" t="str">
        <x:v>Sheet 17: Hari ini</x:v>
      </x:c>
      <x:c r="D53" s="8" t="str">
        <x:v>—; sheet 18–19</x:v>
      </x:c>
      <x:c r="E53" s="8" t="str">
        <x:v>S02; sheet 20–21</x:v>
      </x:c>
      <x:c r="F53" s="8" t="str">
        <x:v>Sidebar detail; form sebagai mode terpisah</x:v>
      </x:c>
    </x:row>
    <x:row r="54" ht="86" customHeight="1">
      <x:c r="A54" s="8" t="str">
        <x:v>Persetujuan saya</x:v>
      </x:c>
      <x:c r="B54" s="8" t="str">
        <x:v>Sheet 16: Persetujuan saya</x:v>
      </x:c>
      <x:c r="C54" s="8" t="str">
        <x:v>Sheet 17: Persetujuan saya</x:v>
      </x:c>
      <x:c r="D54" s="8" t="str">
        <x:v>F01; sheet 18–19</x:v>
      </x:c>
      <x:c r="E54" s="8" t="str">
        <x:v>S01; S02; sheet 20–21</x:v>
      </x:c>
      <x:c r="F54" s="8" t="str">
        <x:v>Sidebar detail; form sebagai mode terpisah</x:v>
      </x:c>
    </x:row>
    <x:row r="55" ht="86" customHeight="1">
      <x:c r="A55" s="8" t="str">
        <x:v>Pengecualian</x:v>
      </x:c>
      <x:c r="B55" s="8" t="str">
        <x:v>Sheet 16: Pengecualian</x:v>
      </x:c>
      <x:c r="C55" s="8" t="str">
        <x:v>Sheet 17: Pengecualian</x:v>
      </x:c>
      <x:c r="D55" s="8" t="str">
        <x:v>F19; sheet 18–19</x:v>
      </x:c>
      <x:c r="E55" s="8" t="str">
        <x:v>S13; S02; sheet 20–21</x:v>
      </x:c>
      <x:c r="F55" s="8" t="str">
        <x:v>Sidebar detail; form sebagai mode terpisah</x:v>
      </x:c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8:H18"/>
    <x:mergeCell ref="B19:H19"/>
    <x:mergeCell ref="B20:H20"/>
    <x:mergeCell ref="B21:H21"/>
    <x:mergeCell ref="B22:H22"/>
    <x:mergeCell ref="A25:H25"/>
    <x:mergeCell ref="B26:H26"/>
    <x:mergeCell ref="B27:H27"/>
    <x:mergeCell ref="B31:H31"/>
    <x:mergeCell ref="B32:H32"/>
    <x:mergeCell ref="B33:H33"/>
    <x:mergeCell ref="B34:H34"/>
    <x:mergeCell ref="B35:H35"/>
    <x:mergeCell ref="A38:H38"/>
    <x:mergeCell ref="B39:H39"/>
    <x:mergeCell ref="B40:H40"/>
    <x:mergeCell ref="B44:H44"/>
    <x:mergeCell ref="B45:H45"/>
    <x:mergeCell ref="B46:H46"/>
    <x:mergeCell ref="B47:H47"/>
    <x:mergeCell ref="B48:H48"/>
    <x:mergeCell ref="A51:H51"/>
  </x:mergeCells>
  <x:pageMargins left="0.7" right="0.7" top="0.75" bottom="0.75" header="0.3" footer="0.3"/>
  <x:tableParts count="4">
    <x:tablePart xmlns:r="http://schemas.openxmlformats.org/officeDocument/2006/relationships" r:id="R0ee4407a71bc4868"/>
    <x:tablePart xmlns:r="http://schemas.openxmlformats.org/officeDocument/2006/relationships" r:id="Rd4ab3220c23f4856"/>
    <x:tablePart xmlns:r="http://schemas.openxmlformats.org/officeDocument/2006/relationships" r:id="Rd73ab783674f4b91"/>
    <x:tablePart xmlns:r="http://schemas.openxmlformats.org/officeDocument/2006/relationships" r:id="R45dfe15234f8461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Kas &amp; Bank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Mengelola posisi kas, eksekusi uang masuk/keluar dan pencocokan bank.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Treasury dan kasir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Tagihan dan kewajiban dibuat di menu sumber. Kas &amp; Bank memiliki pembayaran dan instrumen, memakai referensi kewajiban tersebut.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Saldo buku; saldo bank; pembayaran tertunda; giro belum cair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Satukan register pembayaran; pilih akun outstanding giro sesuai bank; lengkapi pemetaan rekening yang diaktifkan.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Rekening &amp; kas — tab awal</x:v>
      </x:c>
      <x:c r="B11" s="17" t="str">
        <x:v>1. Rekening &amp; kas — tab awal</x:v>
      </x:c>
      <x:c r="C11" s="17" t="str">
        <x:v>1. Rekening &amp; kas — tab awal</x:v>
      </x:c>
      <x:c r="D11" s="17" t="str">
        <x:v>1. Rekening &amp; kas — tab awal</x:v>
      </x:c>
      <x:c r="E11" s="17" t="str">
        <x:v>1. Rekening &amp; kas — tab awal</x:v>
      </x:c>
      <x:c r="F11" s="17" t="str">
        <x:v>1. Rekening &amp; kas — tab awal</x:v>
      </x:c>
      <x:c r="G11" s="17" t="str">
        <x:v>1. Rekening &amp; kas — tab awal</x:v>
      </x:c>
      <x:c r="H11" s="17" t="str">
        <x:v>1. Rekening &amp; kas — tab awal</x:v>
      </x:c>
    </x:row>
    <x:row r="12" ht="32" customHeight="1">
      <x:c r="A12" s="15" t="str">
        <x:v>Tujuan tab</x:v>
      </x:c>
      <x:c r="B12" s="14" t="str">
        <x:v>Posisi tiap rekening dan kas kecil.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Unit; bank; jenis; aktif/nonaktif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Rekening</x:v>
      </x:c>
      <x:c r="B14" s="10" t="str">
        <x:v>Unit</x:v>
      </x:c>
      <x:c r="C14" s="10" t="str">
        <x:v>Jenis</x:v>
      </x:c>
      <x:c r="D14" s="10" t="str">
        <x:v>Mata uang</x:v>
      </x:c>
      <x:c r="E14" s="10" t="str">
        <x:v>Saldo buku Rp</x:v>
      </x:c>
      <x:c r="F14" s="10" t="str">
        <x:v>Saldo bank Rp</x:v>
      </x:c>
      <x:c r="G14" s="10" t="str">
        <x:v>Tanggal bank</x:v>
      </x:c>
      <x:c r="H14" s="10" t="str">
        <x:v>Aksi</x:v>
      </x:c>
    </x:row>
    <x:row r="15" ht="48" customHeight="1">
      <x:c r="A15" s="8" t="str">
        <x:v>Mandiri HO</x:v>
      </x:c>
      <x:c r="B15" s="8" t="str">
        <x:v>HO</x:v>
      </x:c>
      <x:c r="C15" s="8" t="str">
        <x:v>Bank</x:v>
      </x:c>
      <x:c r="D15" s="8" t="str">
        <x:v>IDR</x:v>
      </x:c>
      <x:c r="E15" s="18" t="n">
        <x:v>25000000</x:v>
      </x:c>
      <x:c r="F15" s="18" t="n">
        <x:v>25000000</x:v>
      </x:c>
      <x:c r="G15" s="19" t="n">
        <x:v>46276</x:v>
      </x:c>
      <x:c r="H15" s="8" t="str">
        <x:v>Lihat mutasi</x:v>
      </x:c>
    </x:row>
    <x:row r="16" ht="48" customHeight="1">
      <x:c r="A16" s="8" t="str">
        <x:v>Kas kecil C006</x:v>
      </x:c>
      <x:c r="B16" s="8" t="str">
        <x:v>C006</x:v>
      </x:c>
      <x:c r="C16" s="8" t="str">
        <x:v>Kas</x:v>
      </x:c>
      <x:c r="D16" s="8" t="str">
        <x:v>IDR</x:v>
      </x:c>
      <x:c r="E16" s="18" t="n">
        <x:v>1500000</x:v>
      </x:c>
      <x:c r="F16" s="18"/>
      <x:c r="G16" s="19"/>
      <x:c r="H16" s="8" t="str">
        <x:v>Lihat mutasi</x:v>
      </x:c>
    </x:row>
    <x:row r="18" ht="32" customHeight="1">
      <x:c r="A18" s="15" t="str">
        <x:v>Tombol / tindakan</x:v>
      </x:c>
      <x:c r="B18" s="14" t="str">
        <x:v>Lihat mutasi; transfer; isi kas kecil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Status dokumen</x:v>
      </x:c>
      <x:c r="B19" s="14" t="str">
        <x:v>Aktif; dibatasi; nonaktif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Saat baris dibuka</x:v>
      </x:c>
      <x:c r="B20" s="14" t="str">
        <x:v>Identitas rekening, saldo, mutasi, rekonsiliasi dan akses. Perubahan master membuka Pengaturan Finance.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Alur</x:v>
      </x:c>
      <x:c r="B21" s="14" t="str">
        <x:v>Rekening → mutasi → dokumen asal</x:v>
      </x:c>
      <x:c r="C21" s="14"/>
      <x:c r="D21" s="14"/>
      <x:c r="E21" s="14"/>
      <x:c r="F21" s="14"/>
      <x:c r="G21" s="14"/>
      <x:c r="H21" s="14"/>
    </x:row>
    <x:row r="22" ht="32" customHeight="1">
      <x:c r="A22" s="15" t="str">
        <x:v>Tampilan kosong</x:v>
      </x:c>
      <x:c r="B22" s="14" t="str">
        <x:v>Tampilkan “Belum ada data sesuai filter”, pilihan hapus filter, dan aksi membuat/mengambil data hanya bila pengguna berwenang.</x:v>
      </x:c>
      <x:c r="C22" s="14"/>
      <x:c r="D22" s="14"/>
      <x:c r="E22" s="14"/>
      <x:c r="F22" s="14"/>
      <x:c r="G22" s="14"/>
      <x:c r="H22" s="14"/>
    </x:row>
    <x:row r="25" ht="27" customHeight="1">
      <x:c r="A25" s="17" t="str">
        <x:v>2. Pembayaran &amp; penerimaan</x:v>
      </x:c>
      <x:c r="B25" s="17" t="str">
        <x:v>2. Pembayaran &amp; penerimaan</x:v>
      </x:c>
      <x:c r="C25" s="17" t="str">
        <x:v>2. Pembayaran &amp; penerimaan</x:v>
      </x:c>
      <x:c r="D25" s="17" t="str">
        <x:v>2. Pembayaran &amp; penerimaan</x:v>
      </x:c>
      <x:c r="E25" s="17" t="str">
        <x:v>2. Pembayaran &amp; penerimaan</x:v>
      </x:c>
      <x:c r="F25" s="17" t="str">
        <x:v>2. Pembayaran &amp; penerimaan</x:v>
      </x:c>
      <x:c r="G25" s="17" t="str">
        <x:v>2. Pembayaran &amp; penerimaan</x:v>
      </x:c>
      <x:c r="H25" s="17" t="str">
        <x:v>2. Pembayaran &amp; penerimaan</x:v>
      </x:c>
    </x:row>
    <x:row r="26" ht="32" customHeight="1">
      <x:c r="A26" s="15" t="str">
        <x:v>Tujuan tab</x:v>
      </x:c>
      <x:c r="B26" s="14" t="str">
        <x:v>Satu register pergerakan uang lintas sumber.</x:v>
      </x:c>
      <x:c r="C26" s="14"/>
      <x:c r="D26" s="14"/>
      <x:c r="E26" s="14"/>
      <x:c r="F26" s="14"/>
      <x:c r="G26" s="14"/>
      <x:c r="H26" s="14"/>
    </x:row>
    <x:row r="27" ht="32" customHeight="1">
      <x:c r="A27" s="15" t="str">
        <x:v>Filter</x:v>
      </x:c>
      <x:c r="B27" s="14" t="str">
        <x:v>Arah; rekening; unit; tanggal; sumber; status</x:v>
      </x:c>
      <x:c r="C27" s="14"/>
      <x:c r="D27" s="14"/>
      <x:c r="E27" s="14"/>
      <x:c r="F27" s="14"/>
      <x:c r="G27" s="14"/>
      <x:c r="H27" s="14"/>
    </x:row>
    <x:row r="28" ht="36" customHeight="1">
      <x:c r="A28" s="10" t="str">
        <x:v>ID pembayaran</x:v>
      </x:c>
      <x:c r="B28" s="10" t="str">
        <x:v>Tanggal</x:v>
      </x:c>
      <x:c r="C28" s="10" t="str">
        <x:v>Unit</x:v>
      </x:c>
      <x:c r="D28" s="10" t="str">
        <x:v>Arah</x:v>
      </x:c>
      <x:c r="E28" s="10" t="str">
        <x:v>Pihak</x:v>
      </x:c>
      <x:c r="F28" s="10" t="str">
        <x:v>Nilai Rp</x:v>
      </x:c>
      <x:c r="G28" s="10" t="str">
        <x:v>Status</x:v>
      </x:c>
      <x:c r="H28" s="10" t="str">
        <x:v>Dokumen sumber</x:v>
      </x:c>
    </x:row>
    <x:row r="29" ht="48" customHeight="1">
      <x:c r="A29" s="8" t="str">
        <x:v>PAY-001</x:v>
      </x:c>
      <x:c r="B29" s="19" t="n">
        <x:v>46276</x:v>
      </x:c>
      <x:c r="C29" s="8" t="str">
        <x:v>HO</x:v>
      </x:c>
      <x:c r="D29" s="8" t="str">
        <x:v>Keluar</x:v>
      </x:c>
      <x:c r="E29" s="8" t="str">
        <x:v>Vendor A</x:v>
      </x:c>
      <x:c r="F29" s="18" t="n">
        <x:v>5000000</x:v>
      </x:c>
      <x:c r="G29" s="8" t="str">
        <x:v>Tereksekusi</x:v>
      </x:c>
      <x:c r="H29" s="8" t="str">
        <x:v>BILL-001</x:v>
      </x:c>
    </x:row>
    <x:row r="30" ht="48" customHeight="1">
      <x:c r="A30" s="8" t="str">
        <x:v>RCPT-001</x:v>
      </x:c>
      <x:c r="B30" s="19" t="n">
        <x:v>46276</x:v>
      </x:c>
      <x:c r="C30" s="8" t="str">
        <x:v>C006</x:v>
      </x:c>
      <x:c r="D30" s="8" t="str">
        <x:v>Masuk</x:v>
      </x:c>
      <x:c r="E30" s="8" t="str">
        <x:v>Acquirer A</x:v>
      </x:c>
      <x:c r="F30" s="18" t="n">
        <x:v>970000</x:v>
      </x:c>
      <x:c r="G30" s="8" t="str">
        <x:v>Tereksekusi</x:v>
      </x:c>
      <x:c r="H30" s="8" t="str">
        <x:v>SET-001</x:v>
      </x:c>
    </x:row>
    <x:row r="32" ht="32" customHeight="1">
      <x:c r="A32" s="15" t="str">
        <x:v>Tombol / tindakan</x:v>
      </x:c>
      <x:c r="B32" s="14" t="str">
        <x:v>Siapkan pembayaran; eksekusi; alokasikan penerimaan; buka bukti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Status dokumen</x:v>
      </x:c>
      <x:c r="B33" s="14" t="str">
        <x:v>Draf; disetujui; diproses; tereksekusi; gagal; dibalik</x:v>
      </x:c>
      <x:c r="C33" s="14"/>
      <x:c r="D33" s="14"/>
      <x:c r="E33" s="14"/>
      <x:c r="F33" s="14"/>
      <x:c r="G33" s="14"/>
      <x:c r="H33" s="14"/>
    </x:row>
    <x:row r="34" ht="40" customHeight="1">
      <x:c r="A34" s="15" t="str">
        <x:v>Saat baris dibuka</x:v>
      </x:c>
      <x:c r="B34" s="14" t="str">
        <x:v>Rekening, metode, nominal, alokasi dokumen, referensi bank, bukti, jurnal. Beberapa tagihan boleh satu pembayaran dengan rincian alokasi.</x:v>
      </x:c>
      <x:c r="C34" s="14"/>
      <x:c r="D34" s="14"/>
      <x:c r="E34" s="14"/>
      <x:c r="F34" s="14"/>
      <x:c r="G34" s="14"/>
      <x:c r="H34" s="14"/>
    </x:row>
    <x:row r="35" ht="32" customHeight="1">
      <x:c r="A35" s="15" t="str">
        <x:v>Alur</x:v>
      </x:c>
      <x:c r="B35" s="14" t="str">
        <x:v>Kewajiban/settlement → pembayaran/penerimaan → jurnal → rekonsiliasi</x:v>
      </x:c>
      <x:c r="C35" s="14"/>
      <x:c r="D35" s="14"/>
      <x:c r="E35" s="14"/>
      <x:c r="F35" s="14"/>
      <x:c r="G35" s="14"/>
      <x:c r="H35" s="14"/>
    </x:row>
    <x:row r="36" ht="32" customHeight="1">
      <x:c r="A36" s="15" t="str">
        <x:v>Tampilan kosong</x:v>
      </x:c>
      <x:c r="B36" s="14" t="str">
        <x:v>Tampilkan “Belum ada data sesuai filter”, pilihan hapus filter, dan aksi membuat/mengambil data hanya bila pengguna berwenang.</x:v>
      </x:c>
      <x:c r="C36" s="14"/>
      <x:c r="D36" s="14"/>
      <x:c r="E36" s="14"/>
      <x:c r="F36" s="14"/>
      <x:c r="G36" s="14"/>
      <x:c r="H36" s="14"/>
    </x:row>
    <x:row r="39" ht="27" customHeight="1">
      <x:c r="A39" s="17" t="str">
        <x:v>3. Transfer &amp; kas kecil</x:v>
      </x:c>
      <x:c r="B39" s="17" t="str">
        <x:v>3. Transfer &amp; kas kecil</x:v>
      </x:c>
      <x:c r="C39" s="17" t="str">
        <x:v>3. Transfer &amp; kas kecil</x:v>
      </x:c>
      <x:c r="D39" s="17" t="str">
        <x:v>3. Transfer &amp; kas kecil</x:v>
      </x:c>
      <x:c r="E39" s="17" t="str">
        <x:v>3. Transfer &amp; kas kecil</x:v>
      </x:c>
      <x:c r="F39" s="17" t="str">
        <x:v>3. Transfer &amp; kas kecil</x:v>
      </x:c>
      <x:c r="G39" s="17" t="str">
        <x:v>3. Transfer &amp; kas kecil</x:v>
      </x:c>
      <x:c r="H39" s="17" t="str">
        <x:v>3. Transfer &amp; kas kecil</x:v>
      </x:c>
    </x:row>
    <x:row r="40" ht="32" customHeight="1">
      <x:c r="A40" s="15" t="str">
        <x:v>Tujuan tab</x:v>
      </x:c>
      <x:c r="B40" s="14" t="str">
        <x:v>Pemindahan uang dan pengisian kas kecil.</x:v>
      </x:c>
      <x:c r="C40" s="14"/>
      <x:c r="D40" s="14"/>
      <x:c r="E40" s="14"/>
      <x:c r="F40" s="14"/>
      <x:c r="G40" s="14"/>
      <x:c r="H40" s="14"/>
    </x:row>
    <x:row r="41" ht="32" customHeight="1">
      <x:c r="A41" s="15" t="str">
        <x:v>Filter</x:v>
      </x:c>
      <x:c r="B41" s="14" t="str">
        <x:v>Unit; rekening asal/tujuan; status</x:v>
      </x:c>
      <x:c r="C41" s="14"/>
      <x:c r="D41" s="14"/>
      <x:c r="E41" s="14"/>
      <x:c r="F41" s="14"/>
      <x:c r="G41" s="14"/>
      <x:c r="H41" s="14"/>
    </x:row>
    <x:row r="42" ht="36" customHeight="1">
      <x:c r="A42" s="10" t="str">
        <x:v>Transfer</x:v>
      </x:c>
      <x:c r="B42" s="10" t="str">
        <x:v>Tanggal</x:v>
      </x:c>
      <x:c r="C42" s="10" t="str">
        <x:v>Dari</x:v>
      </x:c>
      <x:c r="D42" s="10" t="str">
        <x:v>Ke</x:v>
      </x:c>
      <x:c r="E42" s="10" t="str">
        <x:v>Nilai Rp</x:v>
      </x:c>
      <x:c r="F42" s="10" t="str">
        <x:v>Biaya Rp</x:v>
      </x:c>
      <x:c r="G42" s="10" t="str">
        <x:v>Status</x:v>
      </x:c>
      <x:c r="H42" s="10" t="str">
        <x:v>Aksi</x:v>
      </x:c>
    </x:row>
    <x:row r="43" ht="48" customHeight="1">
      <x:c r="A43" s="8" t="str">
        <x:v>TRF-001</x:v>
      </x:c>
      <x:c r="B43" s="19" t="n">
        <x:v>46276</x:v>
      </x:c>
      <x:c r="C43" s="8" t="str">
        <x:v>Mandiri HO</x:v>
      </x:c>
      <x:c r="D43" s="8" t="str">
        <x:v>Kas kecil HO</x:v>
      </x:c>
      <x:c r="E43" s="18" t="n">
        <x:v>1000000</x:v>
      </x:c>
      <x:c r="F43" s="18" t="n">
        <x:v>0</x:v>
      </x:c>
      <x:c r="G43" s="8" t="str">
        <x:v>Tereksekusi</x:v>
      </x:c>
      <x:c r="H43" s="8" t="str">
        <x:v>Buka transfer</x:v>
      </x:c>
    </x:row>
    <x:row r="45" ht="32" customHeight="1">
      <x:c r="A45" s="15" t="str">
        <x:v>Tombol / tindakan</x:v>
      </x:c>
      <x:c r="B45" s="14" t="str">
        <x:v>Buat transfer; konfirmasi; buka bukti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Status dokumen</x:v>
      </x:c>
      <x:c r="B46" s="14" t="str">
        <x:v>Draf; disetujui; dikirim; diterima; dibalik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Saat baris dibuka</x:v>
      </x:c>
      <x:c r="B47" s="14" t="str">
        <x:v>Kedua rekening, bukti penyerahan, biaya dan pasangan mutasi. Transfer beda unit diarahkan ke Antarunit.</x:v>
      </x:c>
      <x:c r="C47" s="14"/>
      <x:c r="D47" s="14"/>
      <x:c r="E47" s="14"/>
      <x:c r="F47" s="14"/>
      <x:c r="G47" s="14"/>
      <x:c r="H47" s="14"/>
    </x:row>
    <x:row r="48" ht="32" customHeight="1">
      <x:c r="A48" s="15" t="str">
        <x:v>Alur</x:v>
      </x:c>
      <x:c r="B48" s="14" t="str">
        <x:v>Transfer satu unit → dua sisi kas/bank → cocokkan</x:v>
      </x:c>
      <x:c r="C48" s="14"/>
      <x:c r="D48" s="14"/>
      <x:c r="E48" s="14"/>
      <x:c r="F48" s="14"/>
      <x:c r="G48" s="14"/>
      <x:c r="H48" s="14"/>
    </x:row>
    <x:row r="49" ht="32" customHeight="1">
      <x:c r="A49" s="15" t="str">
        <x:v>Tampilan kosong</x:v>
      </x:c>
      <x:c r="B49" s="14" t="str">
        <x:v>Tampilkan “Belum ada data sesuai filter”, pilihan hapus filter, dan aksi membuat/mengambil data hanya bila pengguna berwenang.</x:v>
      </x:c>
      <x:c r="C49" s="14"/>
      <x:c r="D49" s="14"/>
      <x:c r="E49" s="14"/>
      <x:c r="F49" s="14"/>
      <x:c r="G49" s="14"/>
      <x:c r="H49" s="14"/>
    </x:row>
    <x:row r="52" ht="27" customHeight="1">
      <x:c r="A52" s="17" t="str">
        <x:v>4. Giro</x:v>
      </x:c>
      <x:c r="B52" s="17" t="str">
        <x:v>4. Giro</x:v>
      </x:c>
      <x:c r="C52" s="17" t="str">
        <x:v>4. Giro</x:v>
      </x:c>
      <x:c r="D52" s="17" t="str">
        <x:v>4. Giro</x:v>
      </x:c>
      <x:c r="E52" s="17" t="str">
        <x:v>4. Giro</x:v>
      </x:c>
      <x:c r="F52" s="17" t="str">
        <x:v>4. Giro</x:v>
      </x:c>
      <x:c r="G52" s="17" t="str">
        <x:v>4. Giro</x:v>
      </x:c>
      <x:c r="H52" s="17" t="str">
        <x:v>4. Giro</x:v>
      </x:c>
    </x:row>
    <x:row r="53" ht="32" customHeight="1">
      <x:c r="A53" s="15" t="str">
        <x:v>Tujuan tab</x:v>
      </x:c>
      <x:c r="B53" s="14" t="str">
        <x:v>Siklus instrumen giro hingga selesai.</x:v>
      </x:c>
      <x:c r="C53" s="14"/>
      <x:c r="D53" s="14"/>
      <x:c r="E53" s="14"/>
      <x:c r="F53" s="14"/>
      <x:c r="G53" s="14"/>
      <x:c r="H53" s="14"/>
    </x:row>
    <x:row r="54" ht="32" customHeight="1">
      <x:c r="A54" s="15" t="str">
        <x:v>Filter</x:v>
      </x:c>
      <x:c r="B54" s="14" t="str">
        <x:v>Bank; unit; jatuh tempo; status</x:v>
      </x:c>
      <x:c r="C54" s="14"/>
      <x:c r="D54" s="14"/>
      <x:c r="E54" s="14"/>
      <x:c r="F54" s="14"/>
      <x:c r="G54" s="14"/>
      <x:c r="H54" s="14"/>
    </x:row>
    <x:row r="55" ht="36" customHeight="1">
      <x:c r="A55" s="10" t="str">
        <x:v>Giro</x:v>
      </x:c>
      <x:c r="B55" s="10" t="str">
        <x:v>Bank</x:v>
      </x:c>
      <x:c r="C55" s="10" t="str">
        <x:v>Unit</x:v>
      </x:c>
      <x:c r="D55" s="10" t="str">
        <x:v>Penerima</x:v>
      </x:c>
      <x:c r="E55" s="10" t="str">
        <x:v>Nilai Rp</x:v>
      </x:c>
      <x:c r="F55" s="10" t="str">
        <x:v>Jatuh tempo</x:v>
      </x:c>
      <x:c r="G55" s="10" t="str">
        <x:v>Status</x:v>
      </x:c>
      <x:c r="H55" s="10" t="str">
        <x:v>Sumber</x:v>
      </x:c>
    </x:row>
    <x:row r="56" ht="48" customHeight="1">
      <x:c r="A56" s="8" t="str">
        <x:v>GIRO-001</x:v>
      </x:c>
      <x:c r="B56" s="8" t="str">
        <x:v>Mandiri</x:v>
      </x:c>
      <x:c r="C56" s="8" t="str">
        <x:v>HO</x:v>
      </x:c>
      <x:c r="D56" s="8" t="str">
        <x:v>Vendor C</x:v>
      </x:c>
      <x:c r="E56" s="18" t="n">
        <x:v>5000000</x:v>
      </x:c>
      <x:c r="F56" s="19" t="n">
        <x:v>46285</x:v>
      </x:c>
      <x:c r="G56" s="8" t="str">
        <x:v>Diterbitkan</x:v>
      </x:c>
      <x:c r="H56" s="8" t="str">
        <x:v>BILL-GIRO-001</x:v>
      </x:c>
    </x:row>
    <x:row r="58" ht="32" customHeight="1">
      <x:c r="A58" s="15" t="str">
        <x:v>Tombol / tindakan</x:v>
      </x:c>
      <x:c r="B58" s="14" t="str">
        <x:v>Terbitkan dari pembayaran; cairkan; batalkan; catat ditolak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Status dokumen</x:v>
      </x:c>
      <x:c r="B59" s="14" t="str">
        <x:v>Draf; diterbitkan; cair; ditolak; dibatalkan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Saat baris dibuka</x:v>
      </x:c>
      <x:c r="B60" s="14" t="str">
        <x:v>Nomor instrumen, bank, penerima, alokasi tagihan, outstanding giro, jurnal penerbitan/pencairan/pembalikan.</x:v>
      </x:c>
      <x:c r="C60" s="14"/>
      <x:c r="D60" s="14"/>
      <x:c r="E60" s="14"/>
      <x:c r="F60" s="14"/>
      <x:c r="G60" s="14"/>
      <x:c r="H60" s="14"/>
    </x:row>
    <x:row r="61" ht="32" customHeight="1">
      <x:c r="A61" s="15" t="str">
        <x:v>Alur</x:v>
      </x:c>
      <x:c r="B61" s="14" t="str">
        <x:v>Tagihan → instrumen giro → pencairan → rekonsiliasi</x:v>
      </x:c>
      <x:c r="C61" s="14"/>
      <x:c r="D61" s="14"/>
      <x:c r="E61" s="14"/>
      <x:c r="F61" s="14"/>
      <x:c r="G61" s="14"/>
      <x:c r="H61" s="14"/>
    </x:row>
    <x:row r="62" ht="32" customHeight="1">
      <x:c r="A62" s="15" t="str">
        <x:v>Tampilan kosong</x:v>
      </x:c>
      <x:c r="B62" s="14" t="str">
        <x:v>Tampilkan “Belum ada data sesuai filter”, pilihan hapus filter, dan aksi membuat/mengambil data hanya bila pengguna berwenang.</x:v>
      </x:c>
      <x:c r="C62" s="14"/>
      <x:c r="D62" s="14"/>
      <x:c r="E62" s="14"/>
      <x:c r="F62" s="14"/>
      <x:c r="G62" s="14"/>
      <x:c r="H62" s="14"/>
    </x:row>
    <x:row r="65" ht="27" customHeight="1">
      <x:c r="A65" s="17" t="str">
        <x:v>5. Rekonsiliasi</x:v>
      </x:c>
      <x:c r="B65" s="17" t="str">
        <x:v>5. Rekonsiliasi</x:v>
      </x:c>
      <x:c r="C65" s="17" t="str">
        <x:v>5. Rekonsiliasi</x:v>
      </x:c>
      <x:c r="D65" s="17" t="str">
        <x:v>5. Rekonsiliasi</x:v>
      </x:c>
      <x:c r="E65" s="17" t="str">
        <x:v>5. Rekonsiliasi</x:v>
      </x:c>
      <x:c r="F65" s="17" t="str">
        <x:v>5. Rekonsiliasi</x:v>
      </x:c>
      <x:c r="G65" s="17" t="str">
        <x:v>5. Rekonsiliasi</x:v>
      </x:c>
      <x:c r="H65" s="17" t="str">
        <x:v>5. Rekonsiliasi</x:v>
      </x:c>
    </x:row>
    <x:row r="66" ht="32" customHeight="1">
      <x:c r="A66" s="15" t="str">
        <x:v>Tujuan tab</x:v>
      </x:c>
      <x:c r="B66" s="14" t="str">
        <x:v>Mencocokkan mutasi bank dengan transaksi buku.</x:v>
      </x:c>
      <x:c r="C66" s="14"/>
      <x:c r="D66" s="14"/>
      <x:c r="E66" s="14"/>
      <x:c r="F66" s="14"/>
      <x:c r="G66" s="14"/>
      <x:c r="H66" s="14"/>
    </x:row>
    <x:row r="67" ht="32" customHeight="1">
      <x:c r="A67" s="15" t="str">
        <x:v>Filter</x:v>
      </x:c>
      <x:c r="B67" s="14" t="str">
        <x:v>Rekening; periode; cocok/belum cocok; arah</x:v>
      </x:c>
      <x:c r="C67" s="14"/>
      <x:c r="D67" s="14"/>
      <x:c r="E67" s="14"/>
      <x:c r="F67" s="14"/>
      <x:c r="G67" s="14"/>
      <x:c r="H67" s="14"/>
    </x:row>
    <x:row r="68" ht="36" customHeight="1">
      <x:c r="A68" s="10" t="str">
        <x:v>Baris bank</x:v>
      </x:c>
      <x:c r="B68" s="10" t="str">
        <x:v>Tanggal</x:v>
      </x:c>
      <x:c r="C68" s="10" t="str">
        <x:v>Rekening</x:v>
      </x:c>
      <x:c r="D68" s="10" t="str">
        <x:v>Uraian</x:v>
      </x:c>
      <x:c r="E68" s="10" t="str">
        <x:v>Nilai Rp</x:v>
      </x:c>
      <x:c r="F68" s="10" t="str">
        <x:v>Pasangan buku</x:v>
      </x:c>
      <x:c r="G68" s="10" t="str">
        <x:v>Status</x:v>
      </x:c>
      <x:c r="H68" s="10" t="str">
        <x:v>Aksi</x:v>
      </x:c>
    </x:row>
    <x:row r="69" ht="48" customHeight="1">
      <x:c r="A69" s="8" t="str">
        <x:v>BNK-001</x:v>
      </x:c>
      <x:c r="B69" s="19" t="n">
        <x:v>46276</x:v>
      </x:c>
      <x:c r="C69" s="8" t="str">
        <x:v>Mandiri HO</x:v>
      </x:c>
      <x:c r="D69" s="8" t="str">
        <x:v>Transfer Vendor A</x:v>
      </x:c>
      <x:c r="E69" s="18" t="n">
        <x:v>-5000000</x:v>
      </x:c>
      <x:c r="F69" s="8" t="str">
        <x:v>PAY-001</x:v>
      </x:c>
      <x:c r="G69" s="8" t="str">
        <x:v>Cocok</x:v>
      </x:c>
      <x:c r="H69" s="8" t="str">
        <x:v>Lihat pasangan</x:v>
      </x:c>
    </x:row>
    <x:row r="70" ht="48" customHeight="1">
      <x:c r="A70" s="8" t="str">
        <x:v>BNK-002</x:v>
      </x:c>
      <x:c r="B70" s="19" t="n">
        <x:v>46276</x:v>
      </x:c>
      <x:c r="C70" s="8" t="str">
        <x:v>Mandiri HO</x:v>
      </x:c>
      <x:c r="D70" s="8" t="str">
        <x:v>Administrasi bank</x:v>
      </x:c>
      <x:c r="E70" s="18" t="n">
        <x:v>-15000</x:v>
      </x:c>
      <x:c r="F70" s="8"/>
      <x:c r="G70" s="8" t="str">
        <x:v>Belum cocok</x:v>
      </x:c>
      <x:c r="H70" s="8" t="str">
        <x:v>Tinjau</x:v>
      </x:c>
    </x:row>
    <x:row r="72" ht="32" customHeight="1">
      <x:c r="A72" s="15" t="str">
        <x:v>Tombol / tindakan</x:v>
      </x:c>
      <x:c r="B72" s="14" t="str">
        <x:v>Impor mutasi; cocokkan; lepas pasangan; buat biaya dari mutasi</x:v>
      </x:c>
      <x:c r="C72" s="14"/>
      <x:c r="D72" s="14"/>
      <x:c r="E72" s="14"/>
      <x:c r="F72" s="14"/>
      <x:c r="G72" s="14"/>
      <x:c r="H72" s="14"/>
    </x:row>
    <x:row r="73" ht="32" customHeight="1">
      <x:c r="A73" s="15" t="str">
        <x:v>Status dokumen</x:v>
      </x:c>
      <x:c r="B73" s="14" t="str">
        <x:v>Belum cocok; cocok sebagian; cocok; perlu tinjau</x:v>
      </x:c>
      <x:c r="C73" s="14"/>
      <x:c r="D73" s="14"/>
      <x:c r="E73" s="14"/>
      <x:c r="F73" s="14"/>
      <x:c r="G73" s="14"/>
      <x:c r="H73" s="14"/>
    </x:row>
    <x:row r="74" ht="32" customHeight="1">
      <x:c r="A74" s="15" t="str">
        <x:v>Saat baris dibuka</x:v>
      </x:c>
      <x:c r="B74" s="14" t="str">
        <x:v>Baris bank, kandidat buku, jumlah alokasi, alasan selisih. Biaya dari mutasi memakai sumber bank unik agar tidak terduplikasi.</x:v>
      </x:c>
      <x:c r="C74" s="14"/>
      <x:c r="D74" s="14"/>
      <x:c r="E74" s="14"/>
      <x:c r="F74" s="14"/>
      <x:c r="G74" s="14"/>
      <x:c r="H74" s="14"/>
    </x:row>
    <x:row r="75" ht="32" customHeight="1">
      <x:c r="A75" s="15" t="str">
        <x:v>Alur</x:v>
      </x:c>
      <x:c r="B75" s="14" t="str">
        <x:v>Mutasi bank → pasangan pembayaran/jurnal → selisih ditangani</x:v>
      </x:c>
      <x:c r="C75" s="14"/>
      <x:c r="D75" s="14"/>
      <x:c r="E75" s="14"/>
      <x:c r="F75" s="14"/>
      <x:c r="G75" s="14"/>
      <x:c r="H75" s="14"/>
    </x:row>
    <x:row r="76" ht="32" customHeight="1">
      <x:c r="A76" s="15" t="str">
        <x:v>Tampilan kosong</x:v>
      </x:c>
      <x:c r="B76" s="14" t="str">
        <x:v>Tampilkan “Belum ada data sesuai filter”, pilihan hapus filter, dan aksi membuat/mengambil data hanya bila pengguna berwenang.</x:v>
      </x:c>
      <x:c r="C76" s="14"/>
      <x:c r="D76" s="14"/>
      <x:c r="E76" s="14"/>
      <x:c r="F76" s="14"/>
      <x:c r="G76" s="14"/>
      <x:c r="H76" s="14"/>
    </x:row>
    <x:row r="79" ht="28" customHeight="1">
      <x:c r="A79" s="27" t="str">
        <x:v>Detail sidebar, tombol, form dan tabel anak</x:v>
      </x:c>
      <x:c r="B79" s="27" t="str">
        <x:v>Detail sidebar, tombol, form dan tabel anak</x:v>
      </x:c>
      <x:c r="C79" s="27" t="str">
        <x:v>Detail sidebar, tombol, form dan tabel anak</x:v>
      </x:c>
      <x:c r="D79" s="27" t="str">
        <x:v>Detail sidebar, tombol, form dan tabel anak</x:v>
      </x:c>
      <x:c r="E79" s="27" t="str">
        <x:v>Detail sidebar, tombol, form dan tabel anak</x:v>
      </x:c>
      <x:c r="F79" s="27" t="str">
        <x:v>Detail sidebar, tombol, form dan tabel anak</x:v>
      </x:c>
      <x:c r="G79" s="27" t="str">
        <x:v>Detail sidebar, tombol, form dan tabel anak</x:v>
      </x:c>
      <x:c r="H79" s="27" t="str">
        <x:v>Detail sidebar, tombol, form dan tabel anak</x:v>
      </x:c>
    </x:row>
    <x:row r="80" ht="38" customHeight="1">
      <x:c r="A80" s="25" t="str">
        <x:v>Tab</x:v>
      </x:c>
      <x:c r="B80" s="25" t="str">
        <x:v>Sidebar detail</x:v>
      </x:c>
      <x:c r="C80" s="25" t="str">
        <x:v>Tombol</x:v>
      </x:c>
      <x:c r="D80" s="25" t="str">
        <x:v>Form</x:v>
      </x:c>
      <x:c r="E80" s="25" t="str">
        <x:v>Tabel anak</x:v>
      </x:c>
      <x:c r="F80" s="25" t="str">
        <x:v>Bentuk layar</x:v>
      </x:c>
    </x:row>
    <x:row r="81" ht="86" customHeight="1">
      <x:c r="A81" s="8" t="str">
        <x:v>Rekening &amp; kas</x:v>
      </x:c>
      <x:c r="B81" s="8" t="str">
        <x:v>Sheet 16: Rekening &amp; kas</x:v>
      </x:c>
      <x:c r="C81" s="8" t="str">
        <x:v>Sheet 17: Rekening &amp; kas</x:v>
      </x:c>
      <x:c r="D81" s="8" t="str">
        <x:v>F33, F04; sheet 18–19</x:v>
      </x:c>
      <x:c r="E81" s="8" t="str">
        <x:v>S04; sheet 20–21</x:v>
      </x:c>
      <x:c r="F81" s="8" t="str">
        <x:v>Sidebar detail; form sebagai mode terpisah</x:v>
      </x:c>
    </x:row>
    <x:row r="82" ht="86" customHeight="1">
      <x:c r="A82" s="8" t="str">
        <x:v>Pembayaran &amp; penerimaan</x:v>
      </x:c>
      <x:c r="B82" s="8" t="str">
        <x:v>Sheet 16: Pembayaran &amp; penerimaan</x:v>
      </x:c>
      <x:c r="C82" s="8" t="str">
        <x:v>Sheet 17: Pembayaran &amp; penerimaan</x:v>
      </x:c>
      <x:c r="D82" s="8" t="str">
        <x:v>F02, F03, F01; sheet 18–19</x:v>
      </x:c>
      <x:c r="E82" s="8" t="str">
        <x:v>S03; S04; S20; S02; sheet 20–21</x:v>
      </x:c>
      <x:c r="F82" s="8" t="str">
        <x:v>Sidebar detail; form sebagai mode terpisah</x:v>
      </x:c>
    </x:row>
    <x:row r="83" ht="86" customHeight="1">
      <x:c r="A83" s="8" t="str">
        <x:v>Transfer &amp; kas kecil</x:v>
      </x:c>
      <x:c r="B83" s="8" t="str">
        <x:v>Sheet 16: Transfer &amp; kas kecil</x:v>
      </x:c>
      <x:c r="C83" s="8" t="str">
        <x:v>Sheet 17: Transfer &amp; kas kecil</x:v>
      </x:c>
      <x:c r="D83" s="8" t="str">
        <x:v>F04, F01; sheet 18–19</x:v>
      </x:c>
      <x:c r="E83" s="8" t="str">
        <x:v>S03; S04; S20; sheet 20–21</x:v>
      </x:c>
      <x:c r="F83" s="8" t="str">
        <x:v>Sidebar detail; form sebagai mode terpisah</x:v>
      </x:c>
    </x:row>
    <x:row r="84" ht="86" customHeight="1">
      <x:c r="A84" s="8" t="str">
        <x:v>Giro</x:v>
      </x:c>
      <x:c r="B84" s="8" t="str">
        <x:v>Sheet 16: Giro</x:v>
      </x:c>
      <x:c r="C84" s="8" t="str">
        <x:v>Sheet 17: Giro</x:v>
      </x:c>
      <x:c r="D84" s="8" t="str">
        <x:v>F05, F01; sheet 18–19</x:v>
      </x:c>
      <x:c r="E84" s="8" t="str">
        <x:v>S03; S04; S20; S02; sheet 20–21</x:v>
      </x:c>
      <x:c r="F84" s="8" t="str">
        <x:v>Sidebar detail; form sebagai mode terpisah</x:v>
      </x:c>
    </x:row>
    <x:row r="85" ht="86" customHeight="1">
      <x:c r="A85" s="8" t="str">
        <x:v>Rekonsiliasi</x:v>
      </x:c>
      <x:c r="B85" s="8" t="str">
        <x:v>Sheet 16: Rekonsiliasi</x:v>
      </x:c>
      <x:c r="C85" s="8" t="str">
        <x:v>Sheet 17: Rekonsiliasi</x:v>
      </x:c>
      <x:c r="D85" s="8" t="str">
        <x:v>F06; sheet 18–19</x:v>
      </x:c>
      <x:c r="E85" s="8" t="str">
        <x:v>S05; S04; sheet 20–21</x:v>
      </x:c>
      <x:c r="F85" s="8" t="str">
        <x:v>Halaman rekonsiliasi dua panel; detail baris bank di samping</x:v>
      </x:c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8:H18"/>
    <x:mergeCell ref="B19:H19"/>
    <x:mergeCell ref="B20:H20"/>
    <x:mergeCell ref="B21:H21"/>
    <x:mergeCell ref="B22:H22"/>
    <x:mergeCell ref="A25:H25"/>
    <x:mergeCell ref="B26:H26"/>
    <x:mergeCell ref="B27:H27"/>
    <x:mergeCell ref="B32:H32"/>
    <x:mergeCell ref="B33:H33"/>
    <x:mergeCell ref="B34:H34"/>
    <x:mergeCell ref="B35:H35"/>
    <x:mergeCell ref="B36:H36"/>
    <x:mergeCell ref="A39:H39"/>
    <x:mergeCell ref="B40:H40"/>
    <x:mergeCell ref="B41:H41"/>
    <x:mergeCell ref="B45:H45"/>
    <x:mergeCell ref="B46:H46"/>
    <x:mergeCell ref="B47:H47"/>
    <x:mergeCell ref="B48:H48"/>
    <x:mergeCell ref="B49:H49"/>
    <x:mergeCell ref="A52:H52"/>
    <x:mergeCell ref="B53:H53"/>
    <x:mergeCell ref="B54:H54"/>
    <x:mergeCell ref="B58:H58"/>
    <x:mergeCell ref="B59:H59"/>
    <x:mergeCell ref="B60:H60"/>
    <x:mergeCell ref="B61:H61"/>
    <x:mergeCell ref="B62:H62"/>
    <x:mergeCell ref="A65:H65"/>
    <x:mergeCell ref="B66:H66"/>
    <x:mergeCell ref="B67:H67"/>
    <x:mergeCell ref="B72:H72"/>
    <x:mergeCell ref="B73:H73"/>
    <x:mergeCell ref="B74:H74"/>
    <x:mergeCell ref="B75:H75"/>
    <x:mergeCell ref="B76:H76"/>
    <x:mergeCell ref="A79:H79"/>
  </x:mergeCells>
  <x:pageMargins left="0.7" right="0.7" top="0.75" bottom="0.75" header="0.3" footer="0.3"/>
  <x:tableParts count="6">
    <x:tablePart xmlns:r="http://schemas.openxmlformats.org/officeDocument/2006/relationships" r:id="Ra509928be80445fe"/>
    <x:tablePart xmlns:r="http://schemas.openxmlformats.org/officeDocument/2006/relationships" r:id="Rf2d0ac98d2264892"/>
    <x:tablePart xmlns:r="http://schemas.openxmlformats.org/officeDocument/2006/relationships" r:id="Ra58e33a37c334c38"/>
    <x:tablePart xmlns:r="http://schemas.openxmlformats.org/officeDocument/2006/relationships" r:id="R008cedf4dbc7439e"/>
    <x:tablePart xmlns:r="http://schemas.openxmlformats.org/officeDocument/2006/relationships" r:id="R5204e95b00b643cc"/>
    <x:tablePart xmlns:r="http://schemas.openxmlformats.org/officeDocument/2006/relationships" r:id="Ree272106008d4f1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Tagihan &amp; Pengeluaran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Mengelola kewajiban vendor dan pengeluaran sebelum eksekusi pembayaran.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Accounts payable dan pemilik biaya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Mengakui dan memverifikasi tagihan/biaya. Tombol bayar memakai pembayaran yang dimiliki Kas &amp; Bank.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Tagihan belum lunas; jatuh tempo; uang muka terbuka; biaya dibayar di muka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Jenis biaya tidak boleh selalu listrik; likuidasi uang muka tidak boleh selalu housekeeping.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Tagihan — tab awal</x:v>
      </x:c>
      <x:c r="B11" s="17" t="str">
        <x:v>1. Tagihan — tab awal</x:v>
      </x:c>
      <x:c r="C11" s="17" t="str">
        <x:v>1. Tagihan — tab awal</x:v>
      </x:c>
      <x:c r="D11" s="17" t="str">
        <x:v>1. Tagihan — tab awal</x:v>
      </x:c>
      <x:c r="E11" s="17" t="str">
        <x:v>1. Tagihan — tab awal</x:v>
      </x:c>
      <x:c r="F11" s="17" t="str">
        <x:v>1. Tagihan — tab awal</x:v>
      </x:c>
      <x:c r="G11" s="17" t="str">
        <x:v>1. Tagihan — tab awal</x:v>
      </x:c>
      <x:c r="H11" s="17" t="str">
        <x:v>1. Tagihan — tab awal</x:v>
      </x:c>
    </x:row>
    <x:row r="12" ht="32" customHeight="1">
      <x:c r="A12" s="15" t="str">
        <x:v>Tujuan tab</x:v>
      </x:c>
      <x:c r="B12" s="14" t="str">
        <x:v>Daftar tagihan vendor termasuk jatuh tempo dan sisa kewajiban.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Vendor; unit; jatuh tempo; jenis biaya; status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Tagihan</x:v>
      </x:c>
      <x:c r="B14" s="10" t="str">
        <x:v>Vendor</x:v>
      </x:c>
      <x:c r="C14" s="10" t="str">
        <x:v>Unit</x:v>
      </x:c>
      <x:c r="D14" s="10" t="str">
        <x:v>Tanggal</x:v>
      </x:c>
      <x:c r="E14" s="10" t="str">
        <x:v>Jatuh tempo</x:v>
      </x:c>
      <x:c r="F14" s="10" t="str">
        <x:v>Total Rp</x:v>
      </x:c>
      <x:c r="G14" s="10" t="str">
        <x:v>Sisa Rp</x:v>
      </x:c>
      <x:c r="H14" s="10" t="str">
        <x:v>Status</x:v>
      </x:c>
    </x:row>
    <x:row r="15" ht="48" customHeight="1">
      <x:c r="A15" s="8" t="str">
        <x:v>BILL-001</x:v>
      </x:c>
      <x:c r="B15" s="8" t="str">
        <x:v>Vendor A</x:v>
      </x:c>
      <x:c r="C15" s="8" t="str">
        <x:v>HO</x:v>
      </x:c>
      <x:c r="D15" s="19" t="n">
        <x:v>46270</x:v>
      </x:c>
      <x:c r="E15" s="19" t="n">
        <x:v>46276</x:v>
      </x:c>
      <x:c r="F15" s="18" t="n">
        <x:v>5000000</x:v>
      </x:c>
      <x:c r="G15" s="18" t="n">
        <x:v>0</x:v>
      </x:c>
      <x:c r="H15" s="8" t="str">
        <x:v>Lunas</x:v>
      </x:c>
    </x:row>
    <x:row r="16" ht="48" customHeight="1">
      <x:c r="A16" s="8" t="str">
        <x:v>BILL-002</x:v>
      </x:c>
      <x:c r="B16" s="8" t="str">
        <x:v>Vendor B</x:v>
      </x:c>
      <x:c r="C16" s="8" t="str">
        <x:v>C006</x:v>
      </x:c>
      <x:c r="D16" s="19" t="n">
        <x:v>46275</x:v>
      </x:c>
      <x:c r="E16" s="19" t="n">
        <x:v>46285</x:v>
      </x:c>
      <x:c r="F16" s="18" t="n">
        <x:v>2500000</x:v>
      </x:c>
      <x:c r="G16" s="18" t="n">
        <x:v>2500000</x:v>
      </x:c>
      <x:c r="H16" s="8" t="str">
        <x:v>Menunggu review</x:v>
      </x:c>
    </x:row>
    <x:row r="18" ht="32" customHeight="1">
      <x:c r="A18" s="15" t="str">
        <x:v>Tombol / tindakan</x:v>
      </x:c>
      <x:c r="B18" s="14" t="str">
        <x:v>Buat tagihan; ajukan; review; bayar; koreksi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Status dokumen</x:v>
      </x:c>
      <x:c r="B19" s="14" t="str">
        <x:v>Draf; menunggu review; disetujui; sebagian dibayar; lunas; dibatalkan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Saat baris dibuka</x:v>
      </x:c>
      <x:c r="B20" s="14" t="str">
        <x:v>Header vendor, baris barang/jasa/biaya, pajak, PO/penerimaan jika ada, lampiran, pembayaran, jurnal, riwayat.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Alur</x:v>
      </x:c>
      <x:c r="B21" s="14" t="str">
        <x:v>PO/penerimaan atau jasa → tagihan → review → Kas &amp; Bank</x:v>
      </x:c>
      <x:c r="C21" s="14"/>
      <x:c r="D21" s="14"/>
      <x:c r="E21" s="14"/>
      <x:c r="F21" s="14"/>
      <x:c r="G21" s="14"/>
      <x:c r="H21" s="14"/>
    </x:row>
    <x:row r="22" ht="32" customHeight="1">
      <x:c r="A22" s="15" t="str">
        <x:v>Tampilan kosong</x:v>
      </x:c>
      <x:c r="B22" s="14" t="str">
        <x:v>Tampilkan “Belum ada data sesuai filter”, pilihan hapus filter, dan aksi membuat/mengambil data hanya bila pengguna berwenang.</x:v>
      </x:c>
      <x:c r="C22" s="14"/>
      <x:c r="D22" s="14"/>
      <x:c r="E22" s="14"/>
      <x:c r="F22" s="14"/>
      <x:c r="G22" s="14"/>
      <x:c r="H22" s="14"/>
    </x:row>
    <x:row r="25" ht="27" customHeight="1">
      <x:c r="A25" s="17" t="str">
        <x:v>2. Klaim &amp; pengeluaran</x:v>
      </x:c>
      <x:c r="B25" s="17" t="str">
        <x:v>2. Klaim &amp; pengeluaran</x:v>
      </x:c>
      <x:c r="C25" s="17" t="str">
        <x:v>2. Klaim &amp; pengeluaran</x:v>
      </x:c>
      <x:c r="D25" s="17" t="str">
        <x:v>2. Klaim &amp; pengeluaran</x:v>
      </x:c>
      <x:c r="E25" s="17" t="str">
        <x:v>2. Klaim &amp; pengeluaran</x:v>
      </x:c>
      <x:c r="F25" s="17" t="str">
        <x:v>2. Klaim &amp; pengeluaran</x:v>
      </x:c>
      <x:c r="G25" s="17" t="str">
        <x:v>2. Klaim &amp; pengeluaran</x:v>
      </x:c>
      <x:c r="H25" s="17" t="str">
        <x:v>2. Klaim &amp; pengeluaran</x:v>
      </x:c>
    </x:row>
    <x:row r="26" ht="32" customHeight="1">
      <x:c r="A26" s="15" t="str">
        <x:v>Tujuan tab</x:v>
      </x:c>
      <x:c r="B26" s="14" t="str">
        <x:v>Pengeluaran langsung dan reimbursement yang belum dibayar.</x:v>
      </x:c>
      <x:c r="C26" s="14"/>
      <x:c r="D26" s="14"/>
      <x:c r="E26" s="14"/>
      <x:c r="F26" s="14"/>
      <x:c r="G26" s="14"/>
      <x:c r="H26" s="14"/>
    </x:row>
    <x:row r="27" ht="32" customHeight="1">
      <x:c r="A27" s="15" t="str">
        <x:v>Filter</x:v>
      </x:c>
      <x:c r="B27" s="14" t="str">
        <x:v>Pengaju; kategori; unit; status</x:v>
      </x:c>
      <x:c r="C27" s="14"/>
      <x:c r="D27" s="14"/>
      <x:c r="E27" s="14"/>
      <x:c r="F27" s="14"/>
      <x:c r="G27" s="14"/>
      <x:c r="H27" s="14"/>
    </x:row>
    <x:row r="28" ht="36" customHeight="1">
      <x:c r="A28" s="10" t="str">
        <x:v>Klaim</x:v>
      </x:c>
      <x:c r="B28" s="10" t="str">
        <x:v>Pengaju</x:v>
      </x:c>
      <x:c r="C28" s="10" t="str">
        <x:v>Unit</x:v>
      </x:c>
      <x:c r="D28" s="10" t="str">
        <x:v>Keperluan</x:v>
      </x:c>
      <x:c r="E28" s="10" t="str">
        <x:v>Nilai Rp</x:v>
      </x:c>
      <x:c r="F28" s="10" t="str">
        <x:v>Tanggal</x:v>
      </x:c>
      <x:c r="G28" s="10" t="str">
        <x:v>Status</x:v>
      </x:c>
      <x:c r="H28" s="10" t="str">
        <x:v>Aksi</x:v>
      </x:c>
    </x:row>
    <x:row r="29" ht="48" customHeight="1">
      <x:c r="A29" s="8" t="str">
        <x:v>CLM-001</x:v>
      </x:c>
      <x:c r="B29" s="8" t="str">
        <x:v>Pegawai A</x:v>
      </x:c>
      <x:c r="C29" s="8" t="str">
        <x:v>C006</x:v>
      </x:c>
      <x:c r="D29" s="8" t="str">
        <x:v>Transport operasional</x:v>
      </x:c>
      <x:c r="E29" s="18" t="n">
        <x:v>150000</x:v>
      </x:c>
      <x:c r="F29" s="19" t="n">
        <x:v>46275</x:v>
      </x:c>
      <x:c r="G29" s="8" t="str">
        <x:v>Disetujui</x:v>
      </x:c>
      <x:c r="H29" s="8" t="str">
        <x:v>Siapkan pembayaran</x:v>
      </x:c>
    </x:row>
    <x:row r="31" ht="32" customHeight="1">
      <x:c r="A31" s="15" t="str">
        <x:v>Tombol / tindakan</x:v>
      </x:c>
      <x:c r="B31" s="14" t="str">
        <x:v>Buat klaim; unggah bukti; review; bayar</x:v>
      </x:c>
      <x:c r="C31" s="14"/>
      <x:c r="D31" s="14"/>
      <x:c r="E31" s="14"/>
      <x:c r="F31" s="14"/>
      <x:c r="G31" s="14"/>
      <x:c r="H31" s="14"/>
    </x:row>
    <x:row r="32" ht="32" customHeight="1">
      <x:c r="A32" s="15" t="str">
        <x:v>Status dokumen</x:v>
      </x:c>
      <x:c r="B32" s="14" t="str">
        <x:v>Draf; diajukan; dikembalikan; disetujui; dibayar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Saat baris dibuka</x:v>
      </x:c>
      <x:c r="B33" s="14" t="str">
        <x:v>Rincian per bukti, kategori, pusat biaya, pajak bila relevan, pembayaran dan jurnal.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Alur</x:v>
      </x:c>
      <x:c r="B34" s="14" t="str">
        <x:v>Bukti pengeluaran → klaim → approval → pembayaran</x:v>
      </x:c>
      <x:c r="C34" s="14"/>
      <x:c r="D34" s="14"/>
      <x:c r="E34" s="14"/>
      <x:c r="F34" s="14"/>
      <x:c r="G34" s="14"/>
      <x:c r="H34" s="14"/>
    </x:row>
    <x:row r="35" ht="32" customHeight="1">
      <x:c r="A35" s="15" t="str">
        <x:v>Tampilan kosong</x:v>
      </x:c>
      <x:c r="B35" s="14" t="str">
        <x:v>Tampilkan “Belum ada data sesuai filter”, pilihan hapus filter, dan aksi membuat/mengambil data hanya bila pengguna berwenang.</x:v>
      </x:c>
      <x:c r="C35" s="14"/>
      <x:c r="D35" s="14"/>
      <x:c r="E35" s="14"/>
      <x:c r="F35" s="14"/>
      <x:c r="G35" s="14"/>
      <x:c r="H35" s="14"/>
    </x:row>
    <x:row r="38" ht="27" customHeight="1">
      <x:c r="A38" s="17" t="str">
        <x:v>3. Uang muka</x:v>
      </x:c>
      <x:c r="B38" s="17" t="str">
        <x:v>3. Uang muka</x:v>
      </x:c>
      <x:c r="C38" s="17" t="str">
        <x:v>3. Uang muka</x:v>
      </x:c>
      <x:c r="D38" s="17" t="str">
        <x:v>3. Uang muka</x:v>
      </x:c>
      <x:c r="E38" s="17" t="str">
        <x:v>3. Uang muka</x:v>
      </x:c>
      <x:c r="F38" s="17" t="str">
        <x:v>3. Uang muka</x:v>
      </x:c>
      <x:c r="G38" s="17" t="str">
        <x:v>3. Uang muka</x:v>
      </x:c>
      <x:c r="H38" s="17" t="str">
        <x:v>3. Uang muka</x:v>
      </x:c>
    </x:row>
    <x:row r="39" ht="32" customHeight="1">
      <x:c r="A39" s="15" t="str">
        <x:v>Tujuan tab</x:v>
      </x:c>
      <x:c r="B39" s="14" t="str">
        <x:v>Uang muka operasional dan pertanggungjawabannya.</x:v>
      </x:c>
      <x:c r="C39" s="14"/>
      <x:c r="D39" s="14"/>
      <x:c r="E39" s="14"/>
      <x:c r="F39" s="14"/>
      <x:c r="G39" s="14"/>
      <x:c r="H39" s="14"/>
    </x:row>
    <x:row r="40" ht="32" customHeight="1">
      <x:c r="A40" s="15" t="str">
        <x:v>Filter</x:v>
      </x:c>
      <x:c r="B40" s="14" t="str">
        <x:v>Pemegang; unit; umur; status</x:v>
      </x:c>
      <x:c r="C40" s="14"/>
      <x:c r="D40" s="14"/>
      <x:c r="E40" s="14"/>
      <x:c r="F40" s="14"/>
      <x:c r="G40" s="14"/>
      <x:c r="H40" s="14"/>
    </x:row>
    <x:row r="41" ht="36" customHeight="1">
      <x:c r="A41" s="10" t="str">
        <x:v>Uang muka</x:v>
      </x:c>
      <x:c r="B41" s="10" t="str">
        <x:v>Pemegang</x:v>
      </x:c>
      <x:c r="C41" s="10" t="str">
        <x:v>Unit</x:v>
      </x:c>
      <x:c r="D41" s="10" t="str">
        <x:v>Tujuan</x:v>
      </x:c>
      <x:c r="E41" s="10" t="str">
        <x:v>Diberikan Rp</x:v>
      </x:c>
      <x:c r="F41" s="10" t="str">
        <x:v>Dipertanggungjawabkan Rp</x:v>
      </x:c>
      <x:c r="G41" s="10" t="str">
        <x:v>Sisa Rp</x:v>
      </x:c>
      <x:c r="H41" s="10" t="str">
        <x:v>Status</x:v>
      </x:c>
    </x:row>
    <x:row r="42" ht="48" customHeight="1">
      <x:c r="A42" s="8" t="str">
        <x:v>ADV-001</x:v>
      </x:c>
      <x:c r="B42" s="8" t="str">
        <x:v>Pegawai B</x:v>
      </x:c>
      <x:c r="C42" s="8" t="str">
        <x:v>HO</x:v>
      </x:c>
      <x:c r="D42" s="8" t="str">
        <x:v>Kebutuhan acara</x:v>
      </x:c>
      <x:c r="E42" s="18" t="n">
        <x:v>2000000</x:v>
      </x:c>
      <x:c r="F42" s="18" t="n">
        <x:v>1500000</x:v>
      </x:c>
      <x:c r="G42" s="18" t="n">
        <x:f>E42-F42</x:f>
        <x:v>500000</x:v>
      </x:c>
      <x:c r="H42" s="8" t="str">
        <x:v>Terbuka</x:v>
      </x:c>
    </x:row>
    <x:row r="44" ht="32" customHeight="1">
      <x:c r="A44" s="15" t="str">
        <x:v>Tombol / tindakan</x:v>
      </x:c>
      <x:c r="B44" s="14" t="str">
        <x:v>Ajukan uang muka; bayar; pertanggungjawabkan; kembalikan sisa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Status dokumen</x:v>
      </x:c>
      <x:c r="B45" s="14" t="str">
        <x:v>Diajukan; disetujui; dibayar; sebagian dipertanggungjawabkan; selesai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Saat baris dibuka</x:v>
      </x:c>
      <x:c r="B46" s="14" t="str">
        <x:v>Rincian biaya aktual, pengembalian, tambahan penggantian, bukti dan tautan pembayaran. Piutang pinjaman pegawai ada di Payroll.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Alur</x:v>
      </x:c>
      <x:c r="B47" s="14" t="str">
        <x:v>Uang muka → pembayaran → biaya aktual/pengembalian → selesai</x:v>
      </x:c>
      <x:c r="C47" s="14"/>
      <x:c r="D47" s="14"/>
      <x:c r="E47" s="14"/>
      <x:c r="F47" s="14"/>
      <x:c r="G47" s="14"/>
      <x:c r="H47" s="14"/>
    </x:row>
    <x:row r="48" ht="32" customHeight="1">
      <x:c r="A48" s="15" t="str">
        <x:v>Tampilan kosong</x:v>
      </x:c>
      <x:c r="B48" s="14" t="str">
        <x:v>Tampilkan “Belum ada data sesuai filter”, pilihan hapus filter, dan aksi membuat/mengambil data hanya bila pengguna berwenang.</x:v>
      </x:c>
      <x:c r="C48" s="14"/>
      <x:c r="D48" s="14"/>
      <x:c r="E48" s="14"/>
      <x:c r="F48" s="14"/>
      <x:c r="G48" s="14"/>
      <x:c r="H48" s="14"/>
    </x:row>
    <x:row r="51" ht="27" customHeight="1">
      <x:c r="A51" s="17" t="str">
        <x:v>4. Biaya dibayar di muka</x:v>
      </x:c>
      <x:c r="B51" s="17" t="str">
        <x:v>4. Biaya dibayar di muka</x:v>
      </x:c>
      <x:c r="C51" s="17" t="str">
        <x:v>4. Biaya dibayar di muka</x:v>
      </x:c>
      <x:c r="D51" s="17" t="str">
        <x:v>4. Biaya dibayar di muka</x:v>
      </x:c>
      <x:c r="E51" s="17" t="str">
        <x:v>4. Biaya dibayar di muka</x:v>
      </x:c>
      <x:c r="F51" s="17" t="str">
        <x:v>4. Biaya dibayar di muka</x:v>
      </x:c>
      <x:c r="G51" s="17" t="str">
        <x:v>4. Biaya dibayar di muka</x:v>
      </x:c>
      <x:c r="H51" s="17" t="str">
        <x:v>4. Biaya dibayar di muka</x:v>
      </x:c>
    </x:row>
    <x:row r="52" ht="32" customHeight="1">
      <x:c r="A52" s="15" t="str">
        <x:v>Tujuan tab</x:v>
      </x:c>
      <x:c r="B52" s="14" t="str">
        <x:v>Jadwal pengakuan biaya yang manfaatnya lintas periode.</x:v>
      </x:c>
      <x:c r="C52" s="14"/>
      <x:c r="D52" s="14"/>
      <x:c r="E52" s="14"/>
      <x:c r="F52" s="14"/>
      <x:c r="G52" s="14"/>
      <x:c r="H52" s="14"/>
    </x:row>
    <x:row r="53" ht="32" customHeight="1">
      <x:c r="A53" s="15" t="str">
        <x:v>Filter</x:v>
      </x:c>
      <x:c r="B53" s="14" t="str">
        <x:v>Jenis; unit; periode; status</x:v>
      </x:c>
      <x:c r="C53" s="14"/>
      <x:c r="D53" s="14"/>
      <x:c r="E53" s="14"/>
      <x:c r="F53" s="14"/>
      <x:c r="G53" s="14"/>
      <x:c r="H53" s="14"/>
    </x:row>
    <x:row r="54" ht="36" customHeight="1">
      <x:c r="A54" s="10" t="str">
        <x:v>Jadwal</x:v>
      </x:c>
      <x:c r="B54" s="10" t="str">
        <x:v>Jenis</x:v>
      </x:c>
      <x:c r="C54" s="10" t="str">
        <x:v>Unit</x:v>
      </x:c>
      <x:c r="D54" s="10" t="str">
        <x:v>Mulai</x:v>
      </x:c>
      <x:c r="E54" s="10" t="str">
        <x:v>Akhir</x:v>
      </x:c>
      <x:c r="F54" s="10" t="str">
        <x:v>Nilai awal Rp</x:v>
      </x:c>
      <x:c r="G54" s="10" t="str">
        <x:v>Saldo Rp</x:v>
      </x:c>
      <x:c r="H54" s="10" t="str">
        <x:v>Status</x:v>
      </x:c>
    </x:row>
    <x:row r="55" ht="48" customHeight="1">
      <x:c r="A55" s="8" t="str">
        <x:v>PRE-001</x:v>
      </x:c>
      <x:c r="B55" s="8" t="str">
        <x:v>Sewa</x:v>
      </x:c>
      <x:c r="C55" s="8" t="str">
        <x:v>C006</x:v>
      </x:c>
      <x:c r="D55" s="19" t="n">
        <x:v>46266</x:v>
      </x:c>
      <x:c r="E55" s="19" t="n">
        <x:v>46630</x:v>
      </x:c>
      <x:c r="F55" s="18" t="n">
        <x:v>12000000</x:v>
      </x:c>
      <x:c r="G55" s="18" t="n">
        <x:v>12000000</x:v>
      </x:c>
      <x:c r="H55" s="8" t="str">
        <x:v>Aktif</x:v>
      </x:c>
    </x:row>
    <x:row r="57" ht="32" customHeight="1">
      <x:c r="A57" s="15" t="str">
        <x:v>Tombol / tindakan</x:v>
      </x:c>
      <x:c r="B57" s="14" t="str">
        <x:v>Buat dari tagihan; tinjau jadwal; buka pengakuan bulanan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Status dokumen</x:v>
      </x:c>
      <x:c r="B58" s="14" t="str">
        <x:v>Draf; aktif; selesai; dihentikan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Saat baris dibuka</x:v>
      </x:c>
      <x:c r="B59" s="14" t="str">
        <x:v>Dokumen asal, masa manfaat, jadwal per periode, jurnal pengakuan, perubahan dan alasan. Posting bulanan dikendalikan Akuntansi.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Alur</x:v>
      </x:c>
      <x:c r="B60" s="14" t="str">
        <x:v>Tagihan → jadwal → pengakuan periode → laporan</x:v>
      </x:c>
      <x:c r="C60" s="14"/>
      <x:c r="D60" s="14"/>
      <x:c r="E60" s="14"/>
      <x:c r="F60" s="14"/>
      <x:c r="G60" s="14"/>
      <x:c r="H60" s="14"/>
    </x:row>
    <x:row r="61" ht="32" customHeight="1">
      <x:c r="A61" s="15" t="str">
        <x:v>Tampilan kosong</x:v>
      </x:c>
      <x:c r="B61" s="14" t="str">
        <x:v>Tampilkan “Belum ada data sesuai filter”, pilihan hapus filter, dan aksi membuat/mengambil data hanya bila pengguna berwenang.</x:v>
      </x:c>
      <x:c r="C61" s="14"/>
      <x:c r="D61" s="14"/>
      <x:c r="E61" s="14"/>
      <x:c r="F61" s="14"/>
      <x:c r="G61" s="14"/>
      <x:c r="H61" s="14"/>
    </x:row>
    <x:row r="64" ht="28" customHeight="1">
      <x:c r="A64" s="27" t="str">
        <x:v>Detail sidebar, tombol, form dan tabel anak</x:v>
      </x:c>
      <x:c r="B64" s="27" t="str">
        <x:v>Detail sidebar, tombol, form dan tabel anak</x:v>
      </x:c>
      <x:c r="C64" s="27" t="str">
        <x:v>Detail sidebar, tombol, form dan tabel anak</x:v>
      </x:c>
      <x:c r="D64" s="27" t="str">
        <x:v>Detail sidebar, tombol, form dan tabel anak</x:v>
      </x:c>
      <x:c r="E64" s="27" t="str">
        <x:v>Detail sidebar, tombol, form dan tabel anak</x:v>
      </x:c>
      <x:c r="F64" s="27" t="str">
        <x:v>Detail sidebar, tombol, form dan tabel anak</x:v>
      </x:c>
      <x:c r="G64" s="27" t="str">
        <x:v>Detail sidebar, tombol, form dan tabel anak</x:v>
      </x:c>
      <x:c r="H64" s="27" t="str">
        <x:v>Detail sidebar, tombol, form dan tabel anak</x:v>
      </x:c>
    </x:row>
    <x:row r="65" ht="38" customHeight="1">
      <x:c r="A65" s="25" t="str">
        <x:v>Tab</x:v>
      </x:c>
      <x:c r="B65" s="25" t="str">
        <x:v>Sidebar detail</x:v>
      </x:c>
      <x:c r="C65" s="25" t="str">
        <x:v>Tombol</x:v>
      </x:c>
      <x:c r="D65" s="25" t="str">
        <x:v>Form</x:v>
      </x:c>
      <x:c r="E65" s="25" t="str">
        <x:v>Tabel anak</x:v>
      </x:c>
      <x:c r="F65" s="25" t="str">
        <x:v>Bentuk layar</x:v>
      </x:c>
    </x:row>
    <x:row r="66" ht="86" customHeight="1">
      <x:c r="A66" s="8" t="str">
        <x:v>Tagihan</x:v>
      </x:c>
      <x:c r="B66" s="8" t="str">
        <x:v>Sheet 16: Tagihan</x:v>
      </x:c>
      <x:c r="C66" s="8" t="str">
        <x:v>Sheet 17: Tagihan</x:v>
      </x:c>
      <x:c r="D66" s="8" t="str">
        <x:v>F07, F02, F01; sheet 18–19</x:v>
      </x:c>
      <x:c r="E66" s="8" t="str">
        <x:v>S06; S07; S03; S20; S02; sheet 20–21</x:v>
      </x:c>
      <x:c r="F66" s="8" t="str">
        <x:v>Sidebar detail; form sebagai mode terpisah</x:v>
      </x:c>
    </x:row>
    <x:row r="67" ht="86" customHeight="1">
      <x:c r="A67" s="8" t="str">
        <x:v>Klaim &amp; pengeluaran</x:v>
      </x:c>
      <x:c r="B67" s="8" t="str">
        <x:v>Sheet 16: Klaim &amp; pengeluaran</x:v>
      </x:c>
      <x:c r="C67" s="8" t="str">
        <x:v>Sheet 17: Klaim &amp; pengeluaran</x:v>
      </x:c>
      <x:c r="D67" s="8" t="str">
        <x:v>F08, F02, F01; sheet 18–19</x:v>
      </x:c>
      <x:c r="E67" s="8" t="str">
        <x:v>S06; S01; S03; S20; sheet 20–21</x:v>
      </x:c>
      <x:c r="F67" s="8" t="str">
        <x:v>Sidebar detail; form sebagai mode terpisah</x:v>
      </x:c>
    </x:row>
    <x:row r="68" ht="86" customHeight="1">
      <x:c r="A68" s="8" t="str">
        <x:v>Uang muka</x:v>
      </x:c>
      <x:c r="B68" s="8" t="str">
        <x:v>Sheet 16: Uang muka</x:v>
      </x:c>
      <x:c r="C68" s="8" t="str">
        <x:v>Sheet 17: Uang muka</x:v>
      </x:c>
      <x:c r="D68" s="8" t="str">
        <x:v>F09, F10, F02, F03, F01; sheet 18–19</x:v>
      </x:c>
      <x:c r="E68" s="8" t="str">
        <x:v>S08; S03; S20; sheet 20–21</x:v>
      </x:c>
      <x:c r="F68" s="8" t="str">
        <x:v>Sidebar detail; form sebagai mode terpisah</x:v>
      </x:c>
    </x:row>
    <x:row r="69" ht="86" customHeight="1">
      <x:c r="A69" s="8" t="str">
        <x:v>Biaya dibayar di muka</x:v>
      </x:c>
      <x:c r="B69" s="8" t="str">
        <x:v>Sheet 16: Biaya dibayar di muka</x:v>
      </x:c>
      <x:c r="C69" s="8" t="str">
        <x:v>Sheet 17: Biaya dibayar di muka</x:v>
      </x:c>
      <x:c r="D69" s="8" t="str">
        <x:v>F11, F22, F01; sheet 18–19</x:v>
      </x:c>
      <x:c r="E69" s="8" t="str">
        <x:v>S09; S06; S20; sheet 20–21</x:v>
      </x:c>
      <x:c r="F69" s="8" t="str">
        <x:v>Sidebar detail; form sebagai mode terpisah</x:v>
      </x:c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8:H18"/>
    <x:mergeCell ref="B19:H19"/>
    <x:mergeCell ref="B20:H20"/>
    <x:mergeCell ref="B21:H21"/>
    <x:mergeCell ref="B22:H22"/>
    <x:mergeCell ref="A25:H25"/>
    <x:mergeCell ref="B26:H26"/>
    <x:mergeCell ref="B27:H27"/>
    <x:mergeCell ref="B31:H31"/>
    <x:mergeCell ref="B32:H32"/>
    <x:mergeCell ref="B33:H33"/>
    <x:mergeCell ref="B34:H34"/>
    <x:mergeCell ref="B35:H35"/>
    <x:mergeCell ref="A38:H38"/>
    <x:mergeCell ref="B39:H39"/>
    <x:mergeCell ref="B40:H40"/>
    <x:mergeCell ref="B44:H44"/>
    <x:mergeCell ref="B45:H45"/>
    <x:mergeCell ref="B46:H46"/>
    <x:mergeCell ref="B47:H47"/>
    <x:mergeCell ref="B48:H48"/>
    <x:mergeCell ref="A51:H51"/>
    <x:mergeCell ref="B52:H52"/>
    <x:mergeCell ref="B53:H53"/>
    <x:mergeCell ref="B57:H57"/>
    <x:mergeCell ref="B58:H58"/>
    <x:mergeCell ref="B59:H59"/>
    <x:mergeCell ref="B60:H60"/>
    <x:mergeCell ref="B61:H61"/>
    <x:mergeCell ref="A64:H64"/>
  </x:mergeCells>
  <x:pageMargins left="0.7" right="0.7" top="0.75" bottom="0.75" header="0.3" footer="0.3"/>
  <x:tableParts count="5">
    <x:tablePart xmlns:r="http://schemas.openxmlformats.org/officeDocument/2006/relationships" r:id="R2a6a74aa0a4e496d"/>
    <x:tablePart xmlns:r="http://schemas.openxmlformats.org/officeDocument/2006/relationships" r:id="R24f15ea44c144d53"/>
    <x:tablePart xmlns:r="http://schemas.openxmlformats.org/officeDocument/2006/relationships" r:id="R8dfff6cf8f3f497f"/>
    <x:tablePart xmlns:r="http://schemas.openxmlformats.org/officeDocument/2006/relationships" r:id="Rd82d3c4260b842a9"/>
    <x:tablePart xmlns:r="http://schemas.openxmlformats.org/officeDocument/2006/relationships" r:id="Ra4a9aaf69d02404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Penjualan &amp; Piutang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Mengontrol pendapatan, tagihan pelanggan dan penerimaan dari kanal penjualan.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Accounts receivable dan finance toko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Mengambil transaksi penjualan dari sumber bisnis. Penerimaan uang memakai register Kas &amp; Bank yang sama.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Penjualan tercatat; piutang pelanggan; settlement tertunda; uang muka pelanggan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Settlement kartu perlu alur lengkap; biaya kartu melekat pada settlement; pendapatan lain butuh sumber yang jelas.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Penjualan — tab awal</x:v>
      </x:c>
      <x:c r="B11" s="17" t="str">
        <x:v>1. Penjualan — tab awal</x:v>
      </x:c>
      <x:c r="C11" s="17" t="str">
        <x:v>1. Penjualan — tab awal</x:v>
      </x:c>
      <x:c r="D11" s="17" t="str">
        <x:v>1. Penjualan — tab awal</x:v>
      </x:c>
      <x:c r="E11" s="17" t="str">
        <x:v>1. Penjualan — tab awal</x:v>
      </x:c>
      <x:c r="F11" s="17" t="str">
        <x:v>1. Penjualan — tab awal</x:v>
      </x:c>
      <x:c r="G11" s="17" t="str">
        <x:v>1. Penjualan — tab awal</x:v>
      </x:c>
      <x:c r="H11" s="17" t="str">
        <x:v>1. Penjualan — tab awal</x:v>
      </x:c>
    </x:row>
    <x:row r="12" ht="32" customHeight="1">
      <x:c r="A12" s="15" t="str">
        <x:v>Tujuan tab</x:v>
      </x:c>
      <x:c r="B12" s="14" t="str">
        <x:v>Ringkasan penjualan yang diterima dari sumber operasional.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Unit; tanggal; kanal; status impor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Sumber penjualan</x:v>
      </x:c>
      <x:c r="B14" s="10" t="str">
        <x:v>Tanggal</x:v>
      </x:c>
      <x:c r="C14" s="10" t="str">
        <x:v>Unit</x:v>
      </x:c>
      <x:c r="D14" s="10" t="str">
        <x:v>Kanal</x:v>
      </x:c>
      <x:c r="E14" s="10" t="str">
        <x:v>Bruto Rp</x:v>
      </x:c>
      <x:c r="F14" s="10" t="str">
        <x:v>Potongan Rp</x:v>
      </x:c>
      <x:c r="G14" s="10" t="str">
        <x:v>Neto Rp</x:v>
      </x:c>
      <x:c r="H14" s="10" t="str">
        <x:v>Status</x:v>
      </x:c>
    </x:row>
    <x:row r="15" ht="48" customHeight="1">
      <x:c r="A15" s="8" t="str">
        <x:v>SALE-001</x:v>
      </x:c>
      <x:c r="B15" s="19" t="n">
        <x:v>46275</x:v>
      </x:c>
      <x:c r="C15" s="8" t="str">
        <x:v>C006</x:v>
      </x:c>
      <x:c r="D15" s="8" t="str">
        <x:v>Kartu</x:v>
      </x:c>
      <x:c r="E15" s="18" t="n">
        <x:v>1000000</x:v>
      </x:c>
      <x:c r="F15" s="18" t="n">
        <x:v>0</x:v>
      </x:c>
      <x:c r="G15" s="18" t="n">
        <x:f>E15-F15</x:f>
        <x:v>1000000</x:v>
      </x:c>
      <x:c r="H15" s="8" t="str">
        <x:v>Tercatat</x:v>
      </x:c>
    </x:row>
    <x:row r="17" ht="32" customHeight="1">
      <x:c r="A17" s="15" t="str">
        <x:v>Tombol / tindakan</x:v>
      </x:c>
      <x:c r="B17" s="14" t="str">
        <x:v>Lihat sumber; validasi; tangani selisih</x:v>
      </x:c>
      <x:c r="C17" s="14"/>
      <x:c r="D17" s="14"/>
      <x:c r="E17" s="14"/>
      <x:c r="F17" s="14"/>
      <x:c r="G17" s="14"/>
      <x:c r="H17" s="14"/>
    </x:row>
    <x:row r="18" ht="32" customHeight="1">
      <x:c r="A18" s="15" t="str">
        <x:v>Status dokumen</x:v>
      </x:c>
      <x:c r="B18" s="14" t="str">
        <x:v>Diterima; perlu tinjau; tercatat; dikoreksi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Saat baris dibuka</x:v>
      </x:c>
      <x:c r="B19" s="14" t="str">
        <x:v>Transaksi sumber, rincian penjualan, pajak bila relevan, tender pembayaran, retur dan jurnal.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Alur</x:v>
      </x:c>
      <x:c r="B20" s="14" t="str">
        <x:v>Sumber penjualan → validasi → piutang kanal/kas → settlement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Tampilan kosong</x:v>
      </x:c>
      <x:c r="B21" s="14" t="str">
        <x:v>Tampilkan “Belum ada data sesuai filter”, pilihan hapus filter, dan aksi membuat/mengambil data hanya bila pengguna berwenang.</x:v>
      </x:c>
      <x:c r="C21" s="14"/>
      <x:c r="D21" s="14"/>
      <x:c r="E21" s="14"/>
      <x:c r="F21" s="14"/>
      <x:c r="G21" s="14"/>
      <x:c r="H21" s="14"/>
    </x:row>
    <x:row r="24" ht="27" customHeight="1">
      <x:c r="A24" s="17" t="str">
        <x:v>2. Tagihan &amp; piutang</x:v>
      </x:c>
      <x:c r="B24" s="17" t="str">
        <x:v>2. Tagihan &amp; piutang</x:v>
      </x:c>
      <x:c r="C24" s="17" t="str">
        <x:v>2. Tagihan &amp; piutang</x:v>
      </x:c>
      <x:c r="D24" s="17" t="str">
        <x:v>2. Tagihan &amp; piutang</x:v>
      </x:c>
      <x:c r="E24" s="17" t="str">
        <x:v>2. Tagihan &amp; piutang</x:v>
      </x:c>
      <x:c r="F24" s="17" t="str">
        <x:v>2. Tagihan &amp; piutang</x:v>
      </x:c>
      <x:c r="G24" s="17" t="str">
        <x:v>2. Tagihan &amp; piutang</x:v>
      </x:c>
      <x:c r="H24" s="17" t="str">
        <x:v>2. Tagihan &amp; piutang</x:v>
      </x:c>
    </x:row>
    <x:row r="25" ht="32" customHeight="1">
      <x:c r="A25" s="15" t="str">
        <x:v>Tujuan tab</x:v>
      </x:c>
      <x:c r="B25" s="14" t="str">
        <x:v>Tagihan kepada pelanggan dan saldo yang harus ditagih.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Filter</x:v>
      </x:c>
      <x:c r="B26" s="14" t="str">
        <x:v>Pelanggan; umur piutang; unit; jenis pendapatan</x:v>
      </x:c>
      <x:c r="C26" s="14"/>
      <x:c r="D26" s="14"/>
      <x:c r="E26" s="14"/>
      <x:c r="F26" s="14"/>
      <x:c r="G26" s="14"/>
      <x:c r="H26" s="14"/>
    </x:row>
    <x:row r="27" ht="36" customHeight="1">
      <x:c r="A27" s="10" t="str">
        <x:v>Invoice</x:v>
      </x:c>
      <x:c r="B27" s="10" t="str">
        <x:v>Pelanggan</x:v>
      </x:c>
      <x:c r="C27" s="10" t="str">
        <x:v>Unit</x:v>
      </x:c>
      <x:c r="D27" s="10" t="str">
        <x:v>Jenis</x:v>
      </x:c>
      <x:c r="E27" s="10" t="str">
        <x:v>Jatuh tempo</x:v>
      </x:c>
      <x:c r="F27" s="10" t="str">
        <x:v>Total Rp</x:v>
      </x:c>
      <x:c r="G27" s="10" t="str">
        <x:v>Sisa Rp</x:v>
      </x:c>
      <x:c r="H27" s="10" t="str">
        <x:v>Status</x:v>
      </x:c>
    </x:row>
    <x:row r="28" ht="48" customHeight="1">
      <x:c r="A28" s="8" t="str">
        <x:v>INV-001</x:v>
      </x:c>
      <x:c r="B28" s="8" t="str">
        <x:v>Pelanggan A</x:v>
      </x:c>
      <x:c r="C28" s="8" t="str">
        <x:v>HO</x:v>
      </x:c>
      <x:c r="D28" s="8" t="str">
        <x:v>Jasa</x:v>
      </x:c>
      <x:c r="E28" s="19" t="n">
        <x:v>46290</x:v>
      </x:c>
      <x:c r="F28" s="18" t="n">
        <x:v>3000000</x:v>
      </x:c>
      <x:c r="G28" s="18" t="n">
        <x:v>3000000</x:v>
      </x:c>
      <x:c r="H28" s="8" t="str">
        <x:v>Terbit</x:v>
      </x:c>
    </x:row>
    <x:row r="30" ht="32" customHeight="1">
      <x:c r="A30" s="15" t="str">
        <x:v>Tombol / tindakan</x:v>
      </x:c>
      <x:c r="B30" s="14" t="str">
        <x:v>Buat tagihan jasa; terbitkan; catat kredit; alokasikan penerimaan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Status dokumen</x:v>
      </x:c>
      <x:c r="B31" s="14" t="str">
        <x:v>Draf; terbit; sebagian lunas; lunas; dibatalkan</x:v>
      </x:c>
      <x:c r="C31" s="14"/>
      <x:c r="D31" s="14"/>
      <x:c r="E31" s="14"/>
      <x:c r="F31" s="14"/>
      <x:c r="G31" s="14"/>
      <x:c r="H31" s="14"/>
    </x:row>
    <x:row r="32" ht="40" customHeight="1">
      <x:c r="A32" s="15" t="str">
        <x:v>Saat baris dibuka</x:v>
      </x:c>
      <x:c r="B32" s="14" t="str">
        <x:v>Rincian jasa, dasar pendapatan, pajak, nota kredit, alokasi penerimaan dan jurnal. Management fee hanya bila dasar bisnis dikonfirmasi.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Alur</x:v>
      </x:c>
      <x:c r="B33" s="14" t="str">
        <x:v>Jasa/penjualan kredit → invoice → penerimaan Kas &amp; Bank → alokasi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Tampilan kosong</x:v>
      </x:c>
      <x:c r="B34" s="14" t="str">
        <x:v>Tampilkan “Belum ada data sesuai filter”, pilihan hapus filter, dan aksi membuat/mengambil data hanya bila pengguna berwenang.</x:v>
      </x:c>
      <x:c r="C34" s="14"/>
      <x:c r="D34" s="14"/>
      <x:c r="E34" s="14"/>
      <x:c r="F34" s="14"/>
      <x:c r="G34" s="14"/>
      <x:c r="H34" s="14"/>
    </x:row>
    <x:row r="37" ht="27" customHeight="1">
      <x:c r="A37" s="17" t="str">
        <x:v>3. Settlement kanal</x:v>
      </x:c>
      <x:c r="B37" s="17" t="str">
        <x:v>3. Settlement kanal</x:v>
      </x:c>
      <x:c r="C37" s="17" t="str">
        <x:v>3. Settlement kanal</x:v>
      </x:c>
      <x:c r="D37" s="17" t="str">
        <x:v>3. Settlement kanal</x:v>
      </x:c>
      <x:c r="E37" s="17" t="str">
        <x:v>3. Settlement kanal</x:v>
      </x:c>
      <x:c r="F37" s="17" t="str">
        <x:v>3. Settlement kanal</x:v>
      </x:c>
      <x:c r="G37" s="17" t="str">
        <x:v>3. Settlement kanal</x:v>
      </x:c>
      <x:c r="H37" s="17" t="str">
        <x:v>3. Settlement kanal</x:v>
      </x:c>
    </x:row>
    <x:row r="38" ht="32" customHeight="1">
      <x:c r="A38" s="15" t="str">
        <x:v>Tujuan tab</x:v>
      </x:c>
      <x:c r="B38" s="14" t="str">
        <x:v>Pencocokan tagihan kanal dengan dana bersih yang diterima.</x:v>
      </x:c>
      <x:c r="C38" s="14"/>
      <x:c r="D38" s="14"/>
      <x:c r="E38" s="14"/>
      <x:c r="F38" s="14"/>
      <x:c r="G38" s="14"/>
      <x:c r="H38" s="14"/>
    </x:row>
    <x:row r="39" ht="32" customHeight="1">
      <x:c r="A39" s="15" t="str">
        <x:v>Filter</x:v>
      </x:c>
      <x:c r="B39" s="14" t="str">
        <x:v>Kanal; batch; unit; tanggal; status</x:v>
      </x:c>
      <x:c r="C39" s="14"/>
      <x:c r="D39" s="14"/>
      <x:c r="E39" s="14"/>
      <x:c r="F39" s="14"/>
      <x:c r="G39" s="14"/>
      <x:c r="H39" s="14"/>
    </x:row>
    <x:row r="40" ht="36" customHeight="1">
      <x:c r="A40" s="10" t="str">
        <x:v>Settlement</x:v>
      </x:c>
      <x:c r="B40" s="10" t="str">
        <x:v>Kanal</x:v>
      </x:c>
      <x:c r="C40" s="10" t="str">
        <x:v>Unit</x:v>
      </x:c>
      <x:c r="D40" s="10" t="str">
        <x:v>Bruto Rp</x:v>
      </x:c>
      <x:c r="E40" s="10" t="str">
        <x:v>Biaya Rp</x:v>
      </x:c>
      <x:c r="F40" s="10" t="str">
        <x:v>Neto Rp</x:v>
      </x:c>
      <x:c r="G40" s="10" t="str">
        <x:v>Diterima Rp</x:v>
      </x:c>
      <x:c r="H40" s="10" t="str">
        <x:v>Status</x:v>
      </x:c>
    </x:row>
    <x:row r="41" ht="48" customHeight="1">
      <x:c r="A41" s="8" t="str">
        <x:v>SET-001</x:v>
      </x:c>
      <x:c r="B41" s="8" t="str">
        <x:v>Acquirer A</x:v>
      </x:c>
      <x:c r="C41" s="8" t="str">
        <x:v>C006</x:v>
      </x:c>
      <x:c r="D41" s="18" t="n">
        <x:v>1000000</x:v>
      </x:c>
      <x:c r="E41" s="18" t="n">
        <x:v>30000</x:v>
      </x:c>
      <x:c r="F41" s="18" t="n">
        <x:f>D41-E41</x:f>
        <x:v>970000</x:v>
      </x:c>
      <x:c r="G41" s="18" t="n">
        <x:v>970000</x:v>
      </x:c>
      <x:c r="H41" s="8" t="str">
        <x:v>Selesai</x:v>
      </x:c>
    </x:row>
    <x:row r="43" ht="32" customHeight="1">
      <x:c r="A43" s="15" t="str">
        <x:v>Tombol / tindakan</x:v>
      </x:c>
      <x:c r="B43" s="14" t="str">
        <x:v>Impor settlement; cocokkan transaksi; tautkan penerimaan; tinjau selisih</x:v>
      </x:c>
      <x:c r="C43" s="14"/>
      <x:c r="D43" s="14"/>
      <x:c r="E43" s="14"/>
      <x:c r="F43" s="14"/>
      <x:c r="G43" s="14"/>
      <x:c r="H43" s="14"/>
    </x:row>
    <x:row r="44" ht="32" customHeight="1">
      <x:c r="A44" s="15" t="str">
        <x:v>Status dokumen</x:v>
      </x:c>
      <x:c r="B44" s="14" t="str">
        <x:v>Menunggu; sebagian; selisih; selesai</x:v>
      </x:c>
      <x:c r="C44" s="14"/>
      <x:c r="D44" s="14"/>
      <x:c r="E44" s="14"/>
      <x:c r="F44" s="14"/>
      <x:c r="G44" s="14"/>
      <x:c r="H44" s="14"/>
    </x:row>
    <x:row r="45" ht="40" customHeight="1">
      <x:c r="A45" s="15" t="str">
        <x:v>Saat baris dibuka</x:v>
      </x:c>
      <x:c r="B45" s="14" t="str">
        <x:v>Transaksi penjualan, potongan, biaya kanal, penerimaan RCPT-001, rekonsiliasi dan jurnal. Biaya tidak dibuat ulang sebagai tagihan.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Alur</x:v>
      </x:c>
      <x:c r="B46" s="14" t="str">
        <x:v>Penjualan kanal → statement settlement → penerimaan → rekonsiliasi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Tampilan kosong</x:v>
      </x:c>
      <x:c r="B47" s="14" t="str">
        <x:v>Tampilkan “Belum ada data sesuai filter”, pilihan hapus filter, dan aksi membuat/mengambil data hanya bila pengguna berwenang.</x:v>
      </x:c>
      <x:c r="C47" s="14"/>
      <x:c r="D47" s="14"/>
      <x:c r="E47" s="14"/>
      <x:c r="F47" s="14"/>
      <x:c r="G47" s="14"/>
      <x:c r="H47" s="14"/>
    </x:row>
    <x:row r="50" ht="27" customHeight="1">
      <x:c r="A50" s="17" t="str">
        <x:v>4. Uang muka &amp; pengembalian</x:v>
      </x:c>
      <x:c r="B50" s="17" t="str">
        <x:v>4. Uang muka &amp; pengembalian</x:v>
      </x:c>
      <x:c r="C50" s="17" t="str">
        <x:v>4. Uang muka &amp; pengembalian</x:v>
      </x:c>
      <x:c r="D50" s="17" t="str">
        <x:v>4. Uang muka &amp; pengembalian</x:v>
      </x:c>
      <x:c r="E50" s="17" t="str">
        <x:v>4. Uang muka &amp; pengembalian</x:v>
      </x:c>
      <x:c r="F50" s="17" t="str">
        <x:v>4. Uang muka &amp; pengembalian</x:v>
      </x:c>
      <x:c r="G50" s="17" t="str">
        <x:v>4. Uang muka &amp; pengembalian</x:v>
      </x:c>
      <x:c r="H50" s="17" t="str">
        <x:v>4. Uang muka &amp; pengembalian</x:v>
      </x:c>
    </x:row>
    <x:row r="51" ht="32" customHeight="1">
      <x:c r="A51" s="15" t="str">
        <x:v>Tujuan tab</x:v>
      </x:c>
      <x:c r="B51" s="14" t="str">
        <x:v>Kewajiban pelanggan dan penyelesaian retur/refund.</x:v>
      </x:c>
      <x:c r="C51" s="14"/>
      <x:c r="D51" s="14"/>
      <x:c r="E51" s="14"/>
      <x:c r="F51" s="14"/>
      <x:c r="G51" s="14"/>
      <x:c r="H51" s="14"/>
    </x:row>
    <x:row r="52" ht="32" customHeight="1">
      <x:c r="A52" s="15" t="str">
        <x:v>Filter</x:v>
      </x:c>
      <x:c r="B52" s="14" t="str">
        <x:v>Jenis; pelanggan; unit; status</x:v>
      </x:c>
      <x:c r="C52" s="14"/>
      <x:c r="D52" s="14"/>
      <x:c r="E52" s="14"/>
      <x:c r="F52" s="14"/>
      <x:c r="G52" s="14"/>
      <x:c r="H52" s="14"/>
    </x:row>
    <x:row r="53" ht="36" customHeight="1">
      <x:c r="A53" s="10" t="str">
        <x:v>Dokumen</x:v>
      </x:c>
      <x:c r="B53" s="10" t="str">
        <x:v>Pelanggan</x:v>
      </x:c>
      <x:c r="C53" s="10" t="str">
        <x:v>Unit</x:v>
      </x:c>
      <x:c r="D53" s="10" t="str">
        <x:v>Jenis</x:v>
      </x:c>
      <x:c r="E53" s="10" t="str">
        <x:v>Nilai Rp</x:v>
      </x:c>
      <x:c r="F53" s="10" t="str">
        <x:v>Dialokasikan Rp</x:v>
      </x:c>
      <x:c r="G53" s="10" t="str">
        <x:v>Status</x:v>
      </x:c>
      <x:c r="H53" s="10" t="str">
        <x:v>Sumber</x:v>
      </x:c>
    </x:row>
    <x:row r="54" ht="48" customHeight="1">
      <x:c r="A54" s="8" t="str">
        <x:v>DEP-001</x:v>
      </x:c>
      <x:c r="B54" s="8" t="str">
        <x:v>Pelanggan B</x:v>
      </x:c>
      <x:c r="C54" s="8" t="str">
        <x:v>C006</x:v>
      </x:c>
      <x:c r="D54" s="8" t="str">
        <x:v>Uang muka</x:v>
      </x:c>
      <x:c r="E54" s="18" t="n">
        <x:v>500000</x:v>
      </x:c>
      <x:c r="F54" s="18" t="n">
        <x:v>0</x:v>
      </x:c>
      <x:c r="G54" s="8" t="str">
        <x:v>Belum dialokasikan</x:v>
      </x:c>
      <x:c r="H54" s="8" t="str">
        <x:v>Pesanan B</x:v>
      </x:c>
    </x:row>
    <x:row r="56" ht="32" customHeight="1">
      <x:c r="A56" s="15" t="str">
        <x:v>Tombol / tindakan</x:v>
      </x:c>
      <x:c r="B56" s="14" t="str">
        <x:v>Alokasikan uang muka; ajukan refund; buka pembayaran</x:v>
      </x:c>
      <x:c r="C56" s="14"/>
      <x:c r="D56" s="14"/>
      <x:c r="E56" s="14"/>
      <x:c r="F56" s="14"/>
      <x:c r="G56" s="14"/>
      <x:c r="H56" s="14"/>
    </x:row>
    <x:row r="57" ht="32" customHeight="1">
      <x:c r="A57" s="15" t="str">
        <x:v>Status dokumen</x:v>
      </x:c>
      <x:c r="B57" s="14" t="str">
        <x:v>Belum dialokasikan; sebagian; dialokasikan; refund diproses; selesai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Saat baris dibuka</x:v>
      </x:c>
      <x:c r="B58" s="14" t="str">
        <x:v>Pesanan/penjualan asli, uang diterima, alokasi invoice, persetujuan refund dan pembayaran terkait.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Alur</x:v>
      </x:c>
      <x:c r="B59" s="14" t="str">
        <x:v>Uang muka/retur → alokasi atau persetujuan refund → Kas &amp; Bank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Tampilan kosong</x:v>
      </x:c>
      <x:c r="B60" s="14" t="str">
        <x:v>Tampilkan “Belum ada data sesuai filter”, pilihan hapus filter, dan aksi membuat/mengambil data hanya bila pengguna berwenang.</x:v>
      </x:c>
      <x:c r="C60" s="14"/>
      <x:c r="D60" s="14"/>
      <x:c r="E60" s="14"/>
      <x:c r="F60" s="14"/>
      <x:c r="G60" s="14"/>
      <x:c r="H60" s="14"/>
    </x:row>
    <x:row r="63" ht="28" customHeight="1">
      <x:c r="A63" s="27" t="str">
        <x:v>Detail sidebar, tombol, form dan tabel anak</x:v>
      </x:c>
      <x:c r="B63" s="27" t="str">
        <x:v>Detail sidebar, tombol, form dan tabel anak</x:v>
      </x:c>
      <x:c r="C63" s="27" t="str">
        <x:v>Detail sidebar, tombol, form dan tabel anak</x:v>
      </x:c>
      <x:c r="D63" s="27" t="str">
        <x:v>Detail sidebar, tombol, form dan tabel anak</x:v>
      </x:c>
      <x:c r="E63" s="27" t="str">
        <x:v>Detail sidebar, tombol, form dan tabel anak</x:v>
      </x:c>
      <x:c r="F63" s="27" t="str">
        <x:v>Detail sidebar, tombol, form dan tabel anak</x:v>
      </x:c>
      <x:c r="G63" s="27" t="str">
        <x:v>Detail sidebar, tombol, form dan tabel anak</x:v>
      </x:c>
      <x:c r="H63" s="27" t="str">
        <x:v>Detail sidebar, tombol, form dan tabel anak</x:v>
      </x:c>
    </x:row>
    <x:row r="64" ht="38" customHeight="1">
      <x:c r="A64" s="25" t="str">
        <x:v>Tab</x:v>
      </x:c>
      <x:c r="B64" s="25" t="str">
        <x:v>Sidebar detail</x:v>
      </x:c>
      <x:c r="C64" s="25" t="str">
        <x:v>Tombol</x:v>
      </x:c>
      <x:c r="D64" s="25" t="str">
        <x:v>Form</x:v>
      </x:c>
      <x:c r="E64" s="25" t="str">
        <x:v>Tabel anak</x:v>
      </x:c>
      <x:c r="F64" s="25" t="str">
        <x:v>Bentuk layar</x:v>
      </x:c>
    </x:row>
    <x:row r="65" ht="86" customHeight="1">
      <x:c r="A65" s="8" t="str">
        <x:v>Penjualan</x:v>
      </x:c>
      <x:c r="B65" s="8" t="str">
        <x:v>Sheet 16: Penjualan</x:v>
      </x:c>
      <x:c r="C65" s="8" t="str">
        <x:v>Sheet 17: Penjualan</x:v>
      </x:c>
      <x:c r="D65" s="8" t="str">
        <x:v>F35; sheet 18–19</x:v>
      </x:c>
      <x:c r="E65" s="8" t="str">
        <x:v>S10; S07; S20; sheet 20–21</x:v>
      </x:c>
      <x:c r="F65" s="8" t="str">
        <x:v>Sidebar detail; form sebagai mode terpisah</x:v>
      </x:c>
    </x:row>
    <x:row r="66" ht="86" customHeight="1">
      <x:c r="A66" s="8" t="str">
        <x:v>Tagihan &amp; piutang</x:v>
      </x:c>
      <x:c r="B66" s="8" t="str">
        <x:v>Sheet 16: Tagihan &amp; piutang</x:v>
      </x:c>
      <x:c r="C66" s="8" t="str">
        <x:v>Sheet 17: Tagihan &amp; piutang</x:v>
      </x:c>
      <x:c r="D66" s="8" t="str">
        <x:v>F12, F03, F01; sheet 18–19</x:v>
      </x:c>
      <x:c r="E66" s="8" t="str">
        <x:v>S06; S07; S03; S20; sheet 20–21</x:v>
      </x:c>
      <x:c r="F66" s="8" t="str">
        <x:v>Sidebar detail; form sebagai mode terpisah</x:v>
      </x:c>
    </x:row>
    <x:row r="67" ht="86" customHeight="1">
      <x:c r="A67" s="8" t="str">
        <x:v>Settlement kanal</x:v>
      </x:c>
      <x:c r="B67" s="8" t="str">
        <x:v>Sheet 16: Settlement kanal</x:v>
      </x:c>
      <x:c r="C67" s="8" t="str">
        <x:v>Sheet 17: Settlement kanal</x:v>
      </x:c>
      <x:c r="D67" s="8" t="str">
        <x:v>F13, F03, F01; sheet 18–19</x:v>
      </x:c>
      <x:c r="E67" s="8" t="str">
        <x:v>S10; S03; S05; S20; sheet 20–21</x:v>
      </x:c>
      <x:c r="F67" s="8" t="str">
        <x:v>Sidebar detail; form sebagai mode terpisah</x:v>
      </x:c>
    </x:row>
    <x:row r="68" ht="86" customHeight="1">
      <x:c r="A68" s="8" t="str">
        <x:v>Uang muka &amp; pengembalian</x:v>
      </x:c>
      <x:c r="B68" s="8" t="str">
        <x:v>Sheet 16: Uang muka &amp; pengembalian</x:v>
      </x:c>
      <x:c r="C68" s="8" t="str">
        <x:v>Sheet 17: Uang muka &amp; pengembalian</x:v>
      </x:c>
      <x:c r="D68" s="8" t="str">
        <x:v>F14, F02, F03, F01; sheet 18–19</x:v>
      </x:c>
      <x:c r="E68" s="8" t="str">
        <x:v>S03; S06; S20; sheet 20–21</x:v>
      </x:c>
      <x:c r="F68" s="8" t="str">
        <x:v>Sidebar detail; form sebagai mode terpisah</x:v>
      </x:c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7:H17"/>
    <x:mergeCell ref="B18:H18"/>
    <x:mergeCell ref="B19:H19"/>
    <x:mergeCell ref="B20:H20"/>
    <x:mergeCell ref="B21:H21"/>
    <x:mergeCell ref="A24:H24"/>
    <x:mergeCell ref="B25:H25"/>
    <x:mergeCell ref="B26:H26"/>
    <x:mergeCell ref="B30:H30"/>
    <x:mergeCell ref="B31:H31"/>
    <x:mergeCell ref="B32:H32"/>
    <x:mergeCell ref="B33:H33"/>
    <x:mergeCell ref="B34:H34"/>
    <x:mergeCell ref="A37:H37"/>
    <x:mergeCell ref="B38:H38"/>
    <x:mergeCell ref="B39:H39"/>
    <x:mergeCell ref="B43:H43"/>
    <x:mergeCell ref="B44:H44"/>
    <x:mergeCell ref="B45:H45"/>
    <x:mergeCell ref="B46:H46"/>
    <x:mergeCell ref="B47:H47"/>
    <x:mergeCell ref="A50:H50"/>
    <x:mergeCell ref="B51:H51"/>
    <x:mergeCell ref="B52:H52"/>
    <x:mergeCell ref="B56:H56"/>
    <x:mergeCell ref="B57:H57"/>
    <x:mergeCell ref="B58:H58"/>
    <x:mergeCell ref="B59:H59"/>
    <x:mergeCell ref="B60:H60"/>
    <x:mergeCell ref="A63:H63"/>
  </x:mergeCells>
  <x:pageMargins left="0.7" right="0.7" top="0.75" bottom="0.75" header="0.3" footer="0.3"/>
  <x:tableParts count="5">
    <x:tablePart xmlns:r="http://schemas.openxmlformats.org/officeDocument/2006/relationships" r:id="R72b32ff5f79e40eb"/>
    <x:tablePart xmlns:r="http://schemas.openxmlformats.org/officeDocument/2006/relationships" r:id="Rba50fde050ce48e1"/>
    <x:tablePart xmlns:r="http://schemas.openxmlformats.org/officeDocument/2006/relationships" r:id="R390ffe046f5b4b10"/>
    <x:tablePart xmlns:r="http://schemas.openxmlformats.org/officeDocument/2006/relationships" r:id="Re97523b2e88a4fa5"/>
    <x:tablePart xmlns:r="http://schemas.openxmlformats.org/officeDocument/2006/relationships" r:id="R33b17b1a74104c6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Persediaan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Mengontrol nilai persediaan, selisih fisik dan dampak keuangan pergerakan barang.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Finance persediaan bersama gudang/toko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Operasi mencatat barang fisik. Finance mengontrol nilai dan jurnal. Saldo pihak lawan antarunit ditangani Antarunit.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Nilai stok; barang dalam perjalanan; selisih opname; penyesuaian tertunda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Dispatch belum tersedia untuk semua unit; penerimaan antarunit sengaja nonaktif dan perlu bukti sebelum diaktifkan.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Saldo &amp; mutasi — tab awal</x:v>
      </x:c>
      <x:c r="B11" s="17" t="str">
        <x:v>1. Saldo &amp; mutasi — tab awal</x:v>
      </x:c>
      <x:c r="C11" s="17" t="str">
        <x:v>1. Saldo &amp; mutasi — tab awal</x:v>
      </x:c>
      <x:c r="D11" s="17" t="str">
        <x:v>1. Saldo &amp; mutasi — tab awal</x:v>
      </x:c>
      <x:c r="E11" s="17" t="str">
        <x:v>1. Saldo &amp; mutasi — tab awal</x:v>
      </x:c>
      <x:c r="F11" s="17" t="str">
        <x:v>1. Saldo &amp; mutasi — tab awal</x:v>
      </x:c>
      <x:c r="G11" s="17" t="str">
        <x:v>1. Saldo &amp; mutasi — tab awal</x:v>
      </x:c>
      <x:c r="H11" s="17" t="str">
        <x:v>1. Saldo &amp; mutasi — tab awal</x:v>
      </x:c>
    </x:row>
    <x:row r="12" ht="32" customHeight="1">
      <x:c r="A12" s="15" t="str">
        <x:v>Tujuan tab</x:v>
      </x:c>
      <x:c r="B12" s="14" t="str">
        <x:v>Saldo kuantitas dan nilai menurut unit serta kelompok barang.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Unit; barang/kelompok; lokasi; tanggal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Barang/kelompok</x:v>
      </x:c>
      <x:c r="B14" s="10" t="str">
        <x:v>Unit</x:v>
      </x:c>
      <x:c r="C14" s="10" t="str">
        <x:v>Satuan</x:v>
      </x:c>
      <x:c r="D14" s="10" t="str">
        <x:v>Kuantitas</x:v>
      </x:c>
      <x:c r="E14" s="10" t="str">
        <x:v>Nilai Rp</x:v>
      </x:c>
      <x:c r="F14" s="10" t="str">
        <x:v>Tanggal posisi</x:v>
      </x:c>
      <x:c r="G14" s="10" t="str">
        <x:v>Status</x:v>
      </x:c>
      <x:c r="H14" s="10" t="str">
        <x:v>Aksi</x:v>
      </x:c>
    </x:row>
    <x:row r="15" ht="48" customHeight="1">
      <x:c r="A15" s="8" t="str">
        <x:v>Bahan baku A</x:v>
      </x:c>
      <x:c r="B15" s="8" t="str">
        <x:v>C006</x:v>
      </x:c>
      <x:c r="C15" s="8" t="str">
        <x:v>kg</x:v>
      </x:c>
      <x:c r="D15" s="8" t="n">
        <x:v>100</x:v>
      </x:c>
      <x:c r="E15" s="18" t="n">
        <x:v>5000000</x:v>
      </x:c>
      <x:c r="F15" s="19" t="n">
        <x:v>46276</x:v>
      </x:c>
      <x:c r="G15" s="8" t="str">
        <x:v>Tercatat</x:v>
      </x:c>
      <x:c r="H15" s="8" t="str">
        <x:v>Lihat kartu stok</x:v>
      </x:c>
    </x:row>
    <x:row r="17" ht="32" customHeight="1">
      <x:c r="A17" s="15" t="str">
        <x:v>Tombol / tindakan</x:v>
      </x:c>
      <x:c r="B17" s="14" t="str">
        <x:v>Lihat kartu stok; buka dokumen sumber</x:v>
      </x:c>
      <x:c r="C17" s="14"/>
      <x:c r="D17" s="14"/>
      <x:c r="E17" s="14"/>
      <x:c r="F17" s="14"/>
      <x:c r="G17" s="14"/>
      <x:c r="H17" s="14"/>
    </x:row>
    <x:row r="18" ht="32" customHeight="1">
      <x:c r="A18" s="15" t="str">
        <x:v>Status dokumen</x:v>
      </x:c>
      <x:c r="B18" s="14" t="str">
        <x:v>Tercatat; perlu rekonsiliasi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Saat baris dibuka</x:v>
      </x:c>
      <x:c r="B19" s="14" t="str">
        <x:v>Mutasi kuantitas, nilai, penerimaan, pemakaian, metode penilaian yang disahkan dan jurnal terkait.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Alur</x:v>
      </x:c>
      <x:c r="B20" s="14" t="str">
        <x:v>Dokumen barang → pergerakan bernilai → saldo persediaan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Tampilan kosong</x:v>
      </x:c>
      <x:c r="B21" s="14" t="str">
        <x:v>Tampilkan “Belum ada data sesuai filter”, pilihan hapus filter, dan aksi membuat/mengambil data hanya bila pengguna berwenang.</x:v>
      </x:c>
      <x:c r="C21" s="14"/>
      <x:c r="D21" s="14"/>
      <x:c r="E21" s="14"/>
      <x:c r="F21" s="14"/>
      <x:c r="G21" s="14"/>
      <x:c r="H21" s="14"/>
    </x:row>
    <x:row r="24" ht="27" customHeight="1">
      <x:c r="A24" s="17" t="str">
        <x:v>2. Penerimaan &amp; pemakaian</x:v>
      </x:c>
      <x:c r="B24" s="17" t="str">
        <x:v>2. Penerimaan &amp; pemakaian</x:v>
      </x:c>
      <x:c r="C24" s="17" t="str">
        <x:v>2. Penerimaan &amp; pemakaian</x:v>
      </x:c>
      <x:c r="D24" s="17" t="str">
        <x:v>2. Penerimaan &amp; pemakaian</x:v>
      </x:c>
      <x:c r="E24" s="17" t="str">
        <x:v>2. Penerimaan &amp; pemakaian</x:v>
      </x:c>
      <x:c r="F24" s="17" t="str">
        <x:v>2. Penerimaan &amp; pemakaian</x:v>
      </x:c>
      <x:c r="G24" s="17" t="str">
        <x:v>2. Penerimaan &amp; pemakaian</x:v>
      </x:c>
      <x:c r="H24" s="17" t="str">
        <x:v>2. Penerimaan &amp; pemakaian</x:v>
      </x:c>
    </x:row>
    <x:row r="25" ht="32" customHeight="1">
      <x:c r="A25" s="15" t="str">
        <x:v>Tujuan tab</x:v>
      </x:c>
      <x:c r="B25" s="14" t="str">
        <x:v>Dampak keuangan dari transaksi barang operasional.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Filter</x:v>
      </x:c>
      <x:c r="B26" s="14" t="str">
        <x:v>Jenis; unit; vendor; status</x:v>
      </x:c>
      <x:c r="C26" s="14"/>
      <x:c r="D26" s="14"/>
      <x:c r="E26" s="14"/>
      <x:c r="F26" s="14"/>
      <x:c r="G26" s="14"/>
      <x:c r="H26" s="14"/>
    </x:row>
    <x:row r="27" ht="36" customHeight="1">
      <x:c r="A27" s="10" t="str">
        <x:v>Dokumen</x:v>
      </x:c>
      <x:c r="B27" s="10" t="str">
        <x:v>Tanggal</x:v>
      </x:c>
      <x:c r="C27" s="10" t="str">
        <x:v>Unit</x:v>
      </x:c>
      <x:c r="D27" s="10" t="str">
        <x:v>Jenis</x:v>
      </x:c>
      <x:c r="E27" s="10" t="str">
        <x:v>Barang</x:v>
      </x:c>
      <x:c r="F27" s="10" t="str">
        <x:v>Kuantitas</x:v>
      </x:c>
      <x:c r="G27" s="10" t="str">
        <x:v>Nilai Rp</x:v>
      </x:c>
      <x:c r="H27" s="10" t="str">
        <x:v>Status</x:v>
      </x:c>
    </x:row>
    <x:row r="28" ht="48" customHeight="1">
      <x:c r="A28" s="8" t="str">
        <x:v>GR-001</x:v>
      </x:c>
      <x:c r="B28" s="19" t="n">
        <x:v>46275</x:v>
      </x:c>
      <x:c r="C28" s="8" t="str">
        <x:v>C006</x:v>
      </x:c>
      <x:c r="D28" s="8" t="str">
        <x:v>Penerimaan vendor</x:v>
      </x:c>
      <x:c r="E28" s="8" t="str">
        <x:v>Bahan baku A</x:v>
      </x:c>
      <x:c r="F28" s="8" t="n">
        <x:v>100</x:v>
      </x:c>
      <x:c r="G28" s="18" t="n">
        <x:v>5000000</x:v>
      </x:c>
      <x:c r="H28" s="8" t="str">
        <x:v>Tercatat</x:v>
      </x:c>
    </x:row>
    <x:row r="30" ht="32" customHeight="1">
      <x:c r="A30" s="15" t="str">
        <x:v>Tombol / tindakan</x:v>
      </x:c>
      <x:c r="B30" s="14" t="str">
        <x:v>Buka penerimaan; cocokkan tagihan; tinjau pemakaian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Status dokumen</x:v>
      </x:c>
      <x:c r="B31" s="14" t="str">
        <x:v>Diterima dari operasi; perlu validasi; tercatat; dikoreksi</x:v>
      </x:c>
      <x:c r="C31" s="14"/>
      <x:c r="D31" s="14"/>
      <x:c r="E31" s="14"/>
      <x:c r="F31" s="14"/>
      <x:c r="G31" s="14"/>
      <x:c r="H31" s="14"/>
    </x:row>
    <x:row r="32" ht="32" customHeight="1">
      <x:c r="A32" s="15" t="str">
        <x:v>Saat baris dibuka</x:v>
      </x:c>
      <x:c r="B32" s="14" t="str">
        <x:v>Baris barang, sumber operasional, penerimaan fisik, harga/nilai dan tautan tagihan.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Alur</x:v>
      </x:c>
      <x:c r="B33" s="14" t="str">
        <x:v>Penerimaan fisik → penilaian → tagihan vendor/GL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Tampilan kosong</x:v>
      </x:c>
      <x:c r="B34" s="14" t="str">
        <x:v>Tampilkan “Belum ada data sesuai filter”, pilihan hapus filter, dan aksi membuat/mengambil data hanya bila pengguna berwenang.</x:v>
      </x:c>
      <x:c r="C34" s="14"/>
      <x:c r="D34" s="14"/>
      <x:c r="E34" s="14"/>
      <x:c r="F34" s="14"/>
      <x:c r="G34" s="14"/>
      <x:c r="H34" s="14"/>
    </x:row>
    <x:row r="37" ht="27" customHeight="1">
      <x:c r="A37" s="17" t="str">
        <x:v>3. Dalam perjalanan</x:v>
      </x:c>
      <x:c r="B37" s="17" t="str">
        <x:v>3. Dalam perjalanan</x:v>
      </x:c>
      <x:c r="C37" s="17" t="str">
        <x:v>3. Dalam perjalanan</x:v>
      </x:c>
      <x:c r="D37" s="17" t="str">
        <x:v>3. Dalam perjalanan</x:v>
      </x:c>
      <x:c r="E37" s="17" t="str">
        <x:v>3. Dalam perjalanan</x:v>
      </x:c>
      <x:c r="F37" s="17" t="str">
        <x:v>3. Dalam perjalanan</x:v>
      </x:c>
      <x:c r="G37" s="17" t="str">
        <x:v>3. Dalam perjalanan</x:v>
      </x:c>
      <x:c r="H37" s="17" t="str">
        <x:v>3. Dalam perjalanan</x:v>
      </x:c>
    </x:row>
    <x:row r="38" ht="32" customHeight="1">
      <x:c r="A38" s="15" t="str">
        <x:v>Tujuan tab</x:v>
      </x:c>
      <x:c r="B38" s="14" t="str">
        <x:v>Barang dikirim tetapi belum selesai diterima.</x:v>
      </x:c>
      <x:c r="C38" s="14"/>
      <x:c r="D38" s="14"/>
      <x:c r="E38" s="14"/>
      <x:c r="F38" s="14"/>
      <x:c r="G38" s="14"/>
      <x:c r="H38" s="14"/>
    </x:row>
    <x:row r="39" ht="32" customHeight="1">
      <x:c r="A39" s="15" t="str">
        <x:v>Filter</x:v>
      </x:c>
      <x:c r="B39" s="14" t="str">
        <x:v>Asal; tujuan; umur; status</x:v>
      </x:c>
      <x:c r="C39" s="14"/>
      <x:c r="D39" s="14"/>
      <x:c r="E39" s="14"/>
      <x:c r="F39" s="14"/>
      <x:c r="G39" s="14"/>
      <x:c r="H39" s="14"/>
    </x:row>
    <x:row r="40" ht="36" customHeight="1">
      <x:c r="A40" s="10" t="str">
        <x:v>Pengiriman</x:v>
      </x:c>
      <x:c r="B40" s="10" t="str">
        <x:v>Dari</x:v>
      </x:c>
      <x:c r="C40" s="10" t="str">
        <x:v>Ke</x:v>
      </x:c>
      <x:c r="D40" s="10" t="str">
        <x:v>Tanggal kirim</x:v>
      </x:c>
      <x:c r="E40" s="10" t="str">
        <x:v>Nilai Rp</x:v>
      </x:c>
      <x:c r="F40" s="10" t="str">
        <x:v>Diterima Rp</x:v>
      </x:c>
      <x:c r="G40" s="10" t="str">
        <x:v>Status</x:v>
      </x:c>
      <x:c r="H40" s="10" t="str">
        <x:v>Aksi</x:v>
      </x:c>
    </x:row>
    <x:row r="41" ht="48" customHeight="1">
      <x:c r="A41" s="8" t="str">
        <x:v>SHP-001</x:v>
      </x:c>
      <x:c r="B41" s="8" t="str">
        <x:v>HO</x:v>
      </x:c>
      <x:c r="C41" s="8" t="str">
        <x:v>C006</x:v>
      </x:c>
      <x:c r="D41" s="19" t="n">
        <x:v>46275</x:v>
      </x:c>
      <x:c r="E41" s="18" t="n">
        <x:v>2000000</x:v>
      </x:c>
      <x:c r="F41" s="18" t="n">
        <x:v>0</x:v>
      </x:c>
      <x:c r="G41" s="8" t="str">
        <x:v>Dalam perjalanan</x:v>
      </x:c>
      <x:c r="H41" s="8" t="str">
        <x:v>Buka pengiriman</x:v>
      </x:c>
    </x:row>
    <x:row r="43" ht="32" customHeight="1">
      <x:c r="A43" s="15" t="str">
        <x:v>Tombol / tindakan</x:v>
      </x:c>
      <x:c r="B43" s="14" t="str">
        <x:v>Lihat kirim; konfirmasi penerimaan dari sumber; tinjau selisih</x:v>
      </x:c>
      <x:c r="C43" s="14"/>
      <x:c r="D43" s="14"/>
      <x:c r="E43" s="14"/>
      <x:c r="F43" s="14"/>
      <x:c r="G43" s="14"/>
      <x:c r="H43" s="14"/>
    </x:row>
    <x:row r="44" ht="32" customHeight="1">
      <x:c r="A44" s="15" t="str">
        <x:v>Status dokumen</x:v>
      </x:c>
      <x:c r="B44" s="14" t="str">
        <x:v>Dikirim; sebagian diterima; diterima; selisih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Saat baris dibuka</x:v>
      </x:c>
      <x:c r="B45" s="14" t="str">
        <x:v>Barang kirim/terima, bukti fisik, nilai transit dan referensi pasangan Antarunit.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Alur</x:v>
      </x:c>
      <x:c r="B46" s="14" t="str">
        <x:v>Kirim → transit → terima → saldo hubungan di Antarunit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Tampilan kosong</x:v>
      </x:c>
      <x:c r="B47" s="14" t="str">
        <x:v>Tampilkan “Belum ada data sesuai filter”, pilihan hapus filter, dan aksi membuat/mengambil data hanya bila pengguna berwenang.</x:v>
      </x:c>
      <x:c r="C47" s="14"/>
      <x:c r="D47" s="14"/>
      <x:c r="E47" s="14"/>
      <x:c r="F47" s="14"/>
      <x:c r="G47" s="14"/>
      <x:c r="H47" s="14"/>
    </x:row>
    <x:row r="50" ht="27" customHeight="1">
      <x:c r="A50" s="17" t="str">
        <x:v>4. Opname &amp; penyesuaian</x:v>
      </x:c>
      <x:c r="B50" s="17" t="str">
        <x:v>4. Opname &amp; penyesuaian</x:v>
      </x:c>
      <x:c r="C50" s="17" t="str">
        <x:v>4. Opname &amp; penyesuaian</x:v>
      </x:c>
      <x:c r="D50" s="17" t="str">
        <x:v>4. Opname &amp; penyesuaian</x:v>
      </x:c>
      <x:c r="E50" s="17" t="str">
        <x:v>4. Opname &amp; penyesuaian</x:v>
      </x:c>
      <x:c r="F50" s="17" t="str">
        <x:v>4. Opname &amp; penyesuaian</x:v>
      </x:c>
      <x:c r="G50" s="17" t="str">
        <x:v>4. Opname &amp; penyesuaian</x:v>
      </x:c>
      <x:c r="H50" s="17" t="str">
        <x:v>4. Opname &amp; penyesuaian</x:v>
      </x:c>
    </x:row>
    <x:row r="51" ht="32" customHeight="1">
      <x:c r="A51" s="15" t="str">
        <x:v>Tujuan tab</x:v>
      </x:c>
      <x:c r="B51" s="14" t="str">
        <x:v>Selisih fisik dan koreksi nilai yang disetujui.</x:v>
      </x:c>
      <x:c r="C51" s="14"/>
      <x:c r="D51" s="14"/>
      <x:c r="E51" s="14"/>
      <x:c r="F51" s="14"/>
      <x:c r="G51" s="14"/>
      <x:c r="H51" s="14"/>
    </x:row>
    <x:row r="52" ht="32" customHeight="1">
      <x:c r="A52" s="15" t="str">
        <x:v>Filter</x:v>
      </x:c>
      <x:c r="B52" s="14" t="str">
        <x:v>Unit; tanggal; alasan; status</x:v>
      </x:c>
      <x:c r="C52" s="14"/>
      <x:c r="D52" s="14"/>
      <x:c r="E52" s="14"/>
      <x:c r="F52" s="14"/>
      <x:c r="G52" s="14"/>
      <x:c r="H52" s="14"/>
    </x:row>
    <x:row r="53" ht="36" customHeight="1">
      <x:c r="A53" s="10" t="str">
        <x:v>Opname</x:v>
      </x:c>
      <x:c r="B53" s="10" t="str">
        <x:v>Unit</x:v>
      </x:c>
      <x:c r="C53" s="10" t="str">
        <x:v>Barang</x:v>
      </x:c>
      <x:c r="D53" s="10" t="str">
        <x:v>Buku qty</x:v>
      </x:c>
      <x:c r="E53" s="10" t="str">
        <x:v>Fisik qty</x:v>
      </x:c>
      <x:c r="F53" s="10" t="str">
        <x:v>Selisih qty</x:v>
      </x:c>
      <x:c r="G53" s="10" t="str">
        <x:v>Dampak Rp</x:v>
      </x:c>
      <x:c r="H53" s="10" t="str">
        <x:v>Status</x:v>
      </x:c>
    </x:row>
    <x:row r="54" ht="48" customHeight="1">
      <x:c r="A54" s="8" t="str">
        <x:v>STK-001</x:v>
      </x:c>
      <x:c r="B54" s="8" t="str">
        <x:v>C006</x:v>
      </x:c>
      <x:c r="C54" s="8" t="str">
        <x:v>Bahan baku A</x:v>
      </x:c>
      <x:c r="D54" s="8" t="n">
        <x:v>100</x:v>
      </x:c>
      <x:c r="E54" s="8" t="n">
        <x:v>98</x:v>
      </x:c>
      <x:c r="F54" s="8" t="n">
        <x:f>E54-D54</x:f>
        <x:v>-2</x:v>
      </x:c>
      <x:c r="G54" s="18" t="n">
        <x:v>-100000</x:v>
      </x:c>
      <x:c r="H54" s="8" t="str">
        <x:v>Menunggu review</x:v>
      </x:c>
    </x:row>
    <x:row r="56" ht="32" customHeight="1">
      <x:c r="A56" s="15" t="str">
        <x:v>Tombol / tindakan</x:v>
      </x:c>
      <x:c r="B56" s="14" t="str">
        <x:v>Impor hasil fisik; review selisih; setujui penyesuaian</x:v>
      </x:c>
      <x:c r="C56" s="14"/>
      <x:c r="D56" s="14"/>
      <x:c r="E56" s="14"/>
      <x:c r="F56" s="14"/>
      <x:c r="G56" s="14"/>
      <x:c r="H56" s="14"/>
    </x:row>
    <x:row r="57" ht="32" customHeight="1">
      <x:c r="A57" s="15" t="str">
        <x:v>Status dokumen</x:v>
      </x:c>
      <x:c r="B57" s="14" t="str">
        <x:v>Draf; dihitung; direview; disetujui; tercatat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Saat baris dibuka</x:v>
      </x:c>
      <x:c r="B58" s="14" t="str">
        <x:v>Hasil hitung, bukti, sebab selisih, penanggung jawab, nilai dampak dan jurnal.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Alur</x:v>
      </x:c>
      <x:c r="B59" s="14" t="str">
        <x:v>Opname operasi → review finance → penyesuaian → saldo baru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Tampilan kosong</x:v>
      </x:c>
      <x:c r="B60" s="14" t="str">
        <x:v>Tampilkan “Belum ada data sesuai filter”, pilihan hapus filter, dan aksi membuat/mengambil data hanya bila pengguna berwenang.</x:v>
      </x:c>
      <x:c r="C60" s="14"/>
      <x:c r="D60" s="14"/>
      <x:c r="E60" s="14"/>
      <x:c r="F60" s="14"/>
      <x:c r="G60" s="14"/>
      <x:c r="H60" s="14"/>
    </x:row>
    <x:row r="63" ht="28" customHeight="1">
      <x:c r="A63" s="27" t="str">
        <x:v>Detail sidebar, tombol, form dan tabel anak</x:v>
      </x:c>
      <x:c r="B63" s="27" t="str">
        <x:v>Detail sidebar, tombol, form dan tabel anak</x:v>
      </x:c>
      <x:c r="C63" s="27" t="str">
        <x:v>Detail sidebar, tombol, form dan tabel anak</x:v>
      </x:c>
      <x:c r="D63" s="27" t="str">
        <x:v>Detail sidebar, tombol, form dan tabel anak</x:v>
      </x:c>
      <x:c r="E63" s="27" t="str">
        <x:v>Detail sidebar, tombol, form dan tabel anak</x:v>
      </x:c>
      <x:c r="F63" s="27" t="str">
        <x:v>Detail sidebar, tombol, form dan tabel anak</x:v>
      </x:c>
      <x:c r="G63" s="27" t="str">
        <x:v>Detail sidebar, tombol, form dan tabel anak</x:v>
      </x:c>
      <x:c r="H63" s="27" t="str">
        <x:v>Detail sidebar, tombol, form dan tabel anak</x:v>
      </x:c>
    </x:row>
    <x:row r="64" ht="38" customHeight="1">
      <x:c r="A64" s="25" t="str">
        <x:v>Tab</x:v>
      </x:c>
      <x:c r="B64" s="25" t="str">
        <x:v>Sidebar detail</x:v>
      </x:c>
      <x:c r="C64" s="25" t="str">
        <x:v>Tombol</x:v>
      </x:c>
      <x:c r="D64" s="25" t="str">
        <x:v>Form</x:v>
      </x:c>
      <x:c r="E64" s="25" t="str">
        <x:v>Tabel anak</x:v>
      </x:c>
      <x:c r="F64" s="25" t="str">
        <x:v>Bentuk layar</x:v>
      </x:c>
    </x:row>
    <x:row r="65" ht="86" customHeight="1">
      <x:c r="A65" s="8" t="str">
        <x:v>Saldo &amp; mutasi</x:v>
      </x:c>
      <x:c r="B65" s="8" t="str">
        <x:v>Sheet 16: Saldo &amp; mutasi</x:v>
      </x:c>
      <x:c r="C65" s="8" t="str">
        <x:v>Sheet 17: Saldo &amp; mutasi</x:v>
      </x:c>
      <x:c r="D65" s="8" t="str">
        <x:v>—; sheet 18–19</x:v>
      </x:c>
      <x:c r="E65" s="8" t="str">
        <x:v>S11; S20; sheet 20–21</x:v>
      </x:c>
      <x:c r="F65" s="8" t="str">
        <x:v>Sidebar detail; form sebagai mode terpisah</x:v>
      </x:c>
    </x:row>
    <x:row r="66" ht="86" customHeight="1">
      <x:c r="A66" s="8" t="str">
        <x:v>Penerimaan &amp; pemakaian</x:v>
      </x:c>
      <x:c r="B66" s="8" t="str">
        <x:v>Sheet 16: Penerimaan &amp; pemakaian</x:v>
      </x:c>
      <x:c r="C66" s="8" t="str">
        <x:v>Sheet 17: Penerimaan &amp; pemakaian</x:v>
      </x:c>
      <x:c r="D66" s="8" t="str">
        <x:v>F15, F07, F01; sheet 18–19</x:v>
      </x:c>
      <x:c r="E66" s="8" t="str">
        <x:v>S11; S06; S20; sheet 20–21</x:v>
      </x:c>
      <x:c r="F66" s="8" t="str">
        <x:v>Sidebar detail; form sebagai mode terpisah</x:v>
      </x:c>
    </x:row>
    <x:row r="67" ht="86" customHeight="1">
      <x:c r="A67" s="8" t="str">
        <x:v>Dalam perjalanan</x:v>
      </x:c>
      <x:c r="B67" s="8" t="str">
        <x:v>Sheet 16: Dalam perjalanan</x:v>
      </x:c>
      <x:c r="C67" s="8" t="str">
        <x:v>Sheet 17: Dalam perjalanan</x:v>
      </x:c>
      <x:c r="D67" s="8" t="str">
        <x:v>F16, F19; sheet 18–19</x:v>
      </x:c>
      <x:c r="E67" s="8" t="str">
        <x:v>S11; S12; S20; sheet 20–21</x:v>
      </x:c>
      <x:c r="F67" s="8" t="str">
        <x:v>Sidebar detail; form sebagai mode terpisah</x:v>
      </x:c>
    </x:row>
    <x:row r="68" ht="86" customHeight="1">
      <x:c r="A68" s="8" t="str">
        <x:v>Opname &amp; penyesuaian</x:v>
      </x:c>
      <x:c r="B68" s="8" t="str">
        <x:v>Sheet 16: Opname &amp; penyesuaian</x:v>
      </x:c>
      <x:c r="C68" s="8" t="str">
        <x:v>Sheet 17: Opname &amp; penyesuaian</x:v>
      </x:c>
      <x:c r="D68" s="8" t="str">
        <x:v>F17, F01; sheet 18–19</x:v>
      </x:c>
      <x:c r="E68" s="8" t="str">
        <x:v>S11; S01; S20; sheet 20–21</x:v>
      </x:c>
      <x:c r="F68" s="8" t="str">
        <x:v>Sidebar detail; form sebagai mode terpisah</x:v>
      </x:c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7:H17"/>
    <x:mergeCell ref="B18:H18"/>
    <x:mergeCell ref="B19:H19"/>
    <x:mergeCell ref="B20:H20"/>
    <x:mergeCell ref="B21:H21"/>
    <x:mergeCell ref="A24:H24"/>
    <x:mergeCell ref="B25:H25"/>
    <x:mergeCell ref="B26:H26"/>
    <x:mergeCell ref="B30:H30"/>
    <x:mergeCell ref="B31:H31"/>
    <x:mergeCell ref="B32:H32"/>
    <x:mergeCell ref="B33:H33"/>
    <x:mergeCell ref="B34:H34"/>
    <x:mergeCell ref="A37:H37"/>
    <x:mergeCell ref="B38:H38"/>
    <x:mergeCell ref="B39:H39"/>
    <x:mergeCell ref="B43:H43"/>
    <x:mergeCell ref="B44:H44"/>
    <x:mergeCell ref="B45:H45"/>
    <x:mergeCell ref="B46:H46"/>
    <x:mergeCell ref="B47:H47"/>
    <x:mergeCell ref="A50:H50"/>
    <x:mergeCell ref="B51:H51"/>
    <x:mergeCell ref="B52:H52"/>
    <x:mergeCell ref="B56:H56"/>
    <x:mergeCell ref="B57:H57"/>
    <x:mergeCell ref="B58:H58"/>
    <x:mergeCell ref="B59:H59"/>
    <x:mergeCell ref="B60:H60"/>
    <x:mergeCell ref="A63:H63"/>
  </x:mergeCells>
  <x:pageMargins left="0.7" right="0.7" top="0.75" bottom="0.75" header="0.3" footer="0.3"/>
  <x:tableParts count="5">
    <x:tablePart xmlns:r="http://schemas.openxmlformats.org/officeDocument/2006/relationships" r:id="R95eac9e3f7ea42b8"/>
    <x:tablePart xmlns:r="http://schemas.openxmlformats.org/officeDocument/2006/relationships" r:id="R05b1a820c61d4b34"/>
    <x:tablePart xmlns:r="http://schemas.openxmlformats.org/officeDocument/2006/relationships" r:id="R9e36615b71544054"/>
    <x:tablePart xmlns:r="http://schemas.openxmlformats.org/officeDocument/2006/relationships" r:id="Rb3e28b8abc234ad8"/>
    <x:tablePart xmlns:r="http://schemas.openxmlformats.org/officeDocument/2006/relationships" r:id="R8fc06b1d9ca5446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Antarunit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Mencocokkan dan menyelesaikan saldo antarunit atau afiliasi menurut jenis hubungan.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Finance HO dan finance unit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Pengiriman fisik tetap di Persediaan. Pinjaman eksternal dan transaksi pemilik di Pendanaan &amp; Modal.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Saldo belum cocok; transaksi sepihak; penyelesaian tertunda; selisih pasangan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Penyelesaian pendanaan saat ini memilih keluarga utang barang; setiap jenis hubungan harus memilih akun yang benar.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Saldo &amp; pasangan — tab awal</x:v>
      </x:c>
      <x:c r="B11" s="17" t="str">
        <x:v>1. Saldo &amp; pasangan — tab awal</x:v>
      </x:c>
      <x:c r="C11" s="17" t="str">
        <x:v>1. Saldo &amp; pasangan — tab awal</x:v>
      </x:c>
      <x:c r="D11" s="17" t="str">
        <x:v>1. Saldo &amp; pasangan — tab awal</x:v>
      </x:c>
      <x:c r="E11" s="17" t="str">
        <x:v>1. Saldo &amp; pasangan — tab awal</x:v>
      </x:c>
      <x:c r="F11" s="17" t="str">
        <x:v>1. Saldo &amp; pasangan — tab awal</x:v>
      </x:c>
      <x:c r="G11" s="17" t="str">
        <x:v>1. Saldo &amp; pasangan — tab awal</x:v>
      </x:c>
      <x:c r="H11" s="17" t="str">
        <x:v>1. Saldo &amp; pasangan — tab awal</x:v>
      </x:c>
    </x:row>
    <x:row r="12" ht="32" customHeight="1">
      <x:c r="A12" s="15" t="str">
        <x:v>Tujuan tab</x:v>
      </x:c>
      <x:c r="B12" s="14" t="str">
        <x:v>Posisi kedua pihak dengan pemisahan hubungan barang dan pembiayaan.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Unit; lawan; jenis; periode; status pasangan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Pasangan</x:v>
      </x:c>
      <x:c r="B14" s="10" t="str">
        <x:v>Unit</x:v>
      </x:c>
      <x:c r="C14" s="10" t="str">
        <x:v>Lawan</x:v>
      </x:c>
      <x:c r="D14" s="10" t="str">
        <x:v>Jenis hubungan</x:v>
      </x:c>
      <x:c r="E14" s="10" t="str">
        <x:v>Saldo unit Rp</x:v>
      </x:c>
      <x:c r="F14" s="10" t="str">
        <x:v>Saldo lawan Rp</x:v>
      </x:c>
      <x:c r="G14" s="10" t="str">
        <x:v>Selisih Rp</x:v>
      </x:c>
      <x:c r="H14" s="10" t="str">
        <x:v>Status</x:v>
      </x:c>
    </x:row>
    <x:row r="15" ht="48" customHeight="1">
      <x:c r="A15" s="8" t="str">
        <x:v>IC-001</x:v>
      </x:c>
      <x:c r="B15" s="8" t="str">
        <x:v>C006</x:v>
      </x:c>
      <x:c r="C15" s="8" t="str">
        <x:v>HO</x:v>
      </x:c>
      <x:c r="D15" s="8" t="str">
        <x:v>Barang</x:v>
      </x:c>
      <x:c r="E15" s="18" t="n">
        <x:v>2000000</x:v>
      </x:c>
      <x:c r="F15" s="18" t="n">
        <x:v>-2000000</x:v>
      </x:c>
      <x:c r="G15" s="18" t="n">
        <x:f>E15+F15</x:f>
        <x:v>0</x:v>
      </x:c>
      <x:c r="H15" s="8" t="str">
        <x:v>Cocok</x:v>
      </x:c>
    </x:row>
    <x:row r="17" ht="32" customHeight="1">
      <x:c r="A17" s="15" t="str">
        <x:v>Tombol / tindakan</x:v>
      </x:c>
      <x:c r="B17" s="14" t="str">
        <x:v>Buka pasangan; telusuri dokumen</x:v>
      </x:c>
      <x:c r="C17" s="14"/>
      <x:c r="D17" s="14"/>
      <x:c r="E17" s="14"/>
      <x:c r="F17" s="14"/>
      <x:c r="G17" s="14"/>
      <x:c r="H17" s="14"/>
    </x:row>
    <x:row r="18" ht="32" customHeight="1">
      <x:c r="A18" s="15" t="str">
        <x:v>Status dokumen</x:v>
      </x:c>
      <x:c r="B18" s="14" t="str">
        <x:v>Cocok; sepihak; selisih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Saat baris dibuka</x:v>
      </x:c>
      <x:c r="B19" s="14" t="str">
        <x:v>Rincian masing-masing pihak, jenis akun, sumber, mata uang, periode dan dasar eliminasi.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Alur</x:v>
      </x:c>
      <x:c r="B20" s="14" t="str">
        <x:v>Dokumen sumber kedua pihak → pasangan → rekonsiliasi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Tampilan kosong</x:v>
      </x:c>
      <x:c r="B21" s="14" t="str">
        <x:v>Tampilkan “Belum ada data sesuai filter”, pilihan hapus filter, dan aksi membuat/mengambil data hanya bila pengguna berwenang.</x:v>
      </x:c>
      <x:c r="C21" s="14"/>
      <x:c r="D21" s="14"/>
      <x:c r="E21" s="14"/>
      <x:c r="F21" s="14"/>
      <x:c r="G21" s="14"/>
      <x:c r="H21" s="14"/>
    </x:row>
    <x:row r="24" ht="27" customHeight="1">
      <x:c r="A24" s="17" t="str">
        <x:v>2. Transaksi</x:v>
      </x:c>
      <x:c r="B24" s="17" t="str">
        <x:v>2. Transaksi</x:v>
      </x:c>
      <x:c r="C24" s="17" t="str">
        <x:v>2. Transaksi</x:v>
      </x:c>
      <x:c r="D24" s="17" t="str">
        <x:v>2. Transaksi</x:v>
      </x:c>
      <x:c r="E24" s="17" t="str">
        <x:v>2. Transaksi</x:v>
      </x:c>
      <x:c r="F24" s="17" t="str">
        <x:v>2. Transaksi</x:v>
      </x:c>
      <x:c r="G24" s="17" t="str">
        <x:v>2. Transaksi</x:v>
      </x:c>
      <x:c r="H24" s="17" t="str">
        <x:v>2. Transaksi</x:v>
      </x:c>
    </x:row>
    <x:row r="25" ht="32" customHeight="1">
      <x:c r="A25" s="15" t="str">
        <x:v>Tujuan tab</x:v>
      </x:c>
      <x:c r="B25" s="14" t="str">
        <x:v>Daftar kejadian yang membentuk saldo antarunit.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Filter</x:v>
      </x:c>
      <x:c r="B26" s="14" t="str">
        <x:v>Jenis; unit/lawan; tanggal; sumber</x:v>
      </x:c>
      <x:c r="C26" s="14"/>
      <x:c r="D26" s="14"/>
      <x:c r="E26" s="14"/>
      <x:c r="F26" s="14"/>
      <x:c r="G26" s="14"/>
      <x:c r="H26" s="14"/>
    </x:row>
    <x:row r="27" ht="36" customHeight="1">
      <x:c r="A27" s="10" t="str">
        <x:v>Transaksi</x:v>
      </x:c>
      <x:c r="B27" s="10" t="str">
        <x:v>Tanggal</x:v>
      </x:c>
      <x:c r="C27" s="10" t="str">
        <x:v>Dari</x:v>
      </x:c>
      <x:c r="D27" s="10" t="str">
        <x:v>Ke</x:v>
      </x:c>
      <x:c r="E27" s="10" t="str">
        <x:v>Jenis</x:v>
      </x:c>
      <x:c r="F27" s="10" t="str">
        <x:v>Nilai Rp</x:v>
      </x:c>
      <x:c r="G27" s="10" t="str">
        <x:v>Sumber</x:v>
      </x:c>
      <x:c r="H27" s="10" t="str">
        <x:v>Status</x:v>
      </x:c>
    </x:row>
    <x:row r="28" ht="48" customHeight="1">
      <x:c r="A28" s="8" t="str">
        <x:v>IC-001</x:v>
      </x:c>
      <x:c r="B28" s="19" t="n">
        <x:v>46275</x:v>
      </x:c>
      <x:c r="C28" s="8" t="str">
        <x:v>HO</x:v>
      </x:c>
      <x:c r="D28" s="8" t="str">
        <x:v>C006</x:v>
      </x:c>
      <x:c r="E28" s="8" t="str">
        <x:v>Barang</x:v>
      </x:c>
      <x:c r="F28" s="18" t="n">
        <x:v>2000000</x:v>
      </x:c>
      <x:c r="G28" s="8" t="str">
        <x:v>SHP-001</x:v>
      </x:c>
      <x:c r="H28" s="8" t="str">
        <x:v>Berpasangan</x:v>
      </x:c>
    </x:row>
    <x:row r="30" ht="32" customHeight="1">
      <x:c r="A30" s="15" t="str">
        <x:v>Tombol / tindakan</x:v>
      </x:c>
      <x:c r="B30" s="14" t="str">
        <x:v>Buka sumber; buat pendanaan antarunit; catat alokasi bersama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Status dokumen</x:v>
      </x:c>
      <x:c r="B31" s="14" t="str">
        <x:v>Draf; menunggu pasangan; berpasangan; dikoreksi</x:v>
      </x:c>
      <x:c r="C31" s="14"/>
      <x:c r="D31" s="14"/>
      <x:c r="E31" s="14"/>
      <x:c r="F31" s="14"/>
      <x:c r="G31" s="14"/>
      <x:c r="H31" s="14"/>
    </x:row>
    <x:row r="32" ht="32" customHeight="1">
      <x:c r="A32" s="15" t="str">
        <x:v>Saat baris dibuka</x:v>
      </x:c>
      <x:c r="B32" s="14" t="str">
        <x:v>Dokumen sumber, dasar pembebanan, jenis hubungan dan jurnal dua pihak. Barang tidak dibuat ulang di sini.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Alur</x:v>
      </x:c>
      <x:c r="B33" s="14" t="str">
        <x:v>Barang/pendanaan/alokasi → posting sesuai jenis → saldo pasangan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Tampilan kosong</x:v>
      </x:c>
      <x:c r="B34" s="14" t="str">
        <x:v>Tampilkan “Belum ada data sesuai filter”, pilihan hapus filter, dan aksi membuat/mengambil data hanya bila pengguna berwenang.</x:v>
      </x:c>
      <x:c r="C34" s="14"/>
      <x:c r="D34" s="14"/>
      <x:c r="E34" s="14"/>
      <x:c r="F34" s="14"/>
      <x:c r="G34" s="14"/>
      <x:c r="H34" s="14"/>
    </x:row>
    <x:row r="37" ht="27" customHeight="1">
      <x:c r="A37" s="17" t="str">
        <x:v>3. Penyelesaian</x:v>
      </x:c>
      <x:c r="B37" s="17" t="str">
        <x:v>3. Penyelesaian</x:v>
      </x:c>
      <x:c r="C37" s="17" t="str">
        <x:v>3. Penyelesaian</x:v>
      </x:c>
      <x:c r="D37" s="17" t="str">
        <x:v>3. Penyelesaian</x:v>
      </x:c>
      <x:c r="E37" s="17" t="str">
        <x:v>3. Penyelesaian</x:v>
      </x:c>
      <x:c r="F37" s="17" t="str">
        <x:v>3. Penyelesaian</x:v>
      </x:c>
      <x:c r="G37" s="17" t="str">
        <x:v>3. Penyelesaian</x:v>
      </x:c>
      <x:c r="H37" s="17" t="str">
        <x:v>3. Penyelesaian</x:v>
      </x:c>
    </x:row>
    <x:row r="38" ht="32" customHeight="1">
      <x:c r="A38" s="15" t="str">
        <x:v>Tujuan tab</x:v>
      </x:c>
      <x:c r="B38" s="14" t="str">
        <x:v>Pelunasan yang dialokasikan pada saldo hubungan tertentu.</x:v>
      </x:c>
      <x:c r="C38" s="14"/>
      <x:c r="D38" s="14"/>
      <x:c r="E38" s="14"/>
      <x:c r="F38" s="14"/>
      <x:c r="G38" s="14"/>
      <x:c r="H38" s="14"/>
    </x:row>
    <x:row r="39" ht="32" customHeight="1">
      <x:c r="A39" s="15" t="str">
        <x:v>Filter</x:v>
      </x:c>
      <x:c r="B39" s="14" t="str">
        <x:v>Jenis saldo; unit; lawan; status</x:v>
      </x:c>
      <x:c r="C39" s="14"/>
      <x:c r="D39" s="14"/>
      <x:c r="E39" s="14"/>
      <x:c r="F39" s="14"/>
      <x:c r="G39" s="14"/>
      <x:c r="H39" s="14"/>
    </x:row>
    <x:row r="40" ht="36" customHeight="1">
      <x:c r="A40" s="10" t="str">
        <x:v>Penyelesaian</x:v>
      </x:c>
      <x:c r="B40" s="10" t="str">
        <x:v>Pembayar</x:v>
      </x:c>
      <x:c r="C40" s="10" t="str">
        <x:v>Penerima</x:v>
      </x:c>
      <x:c r="D40" s="10" t="str">
        <x:v>Jenis saldo</x:v>
      </x:c>
      <x:c r="E40" s="10" t="str">
        <x:v>Nilai Rp</x:v>
      </x:c>
      <x:c r="F40" s="10" t="str">
        <x:v>Pembayaran</x:v>
      </x:c>
      <x:c r="G40" s="10" t="str">
        <x:v>Tanggal</x:v>
      </x:c>
      <x:c r="H40" s="10" t="str">
        <x:v>Status</x:v>
      </x:c>
    </x:row>
    <x:row r="41" ht="48" customHeight="1">
      <x:c r="A41" s="8" t="str">
        <x:v>ICS-001</x:v>
      </x:c>
      <x:c r="B41" s="8" t="str">
        <x:v>C006</x:v>
      </x:c>
      <x:c r="C41" s="8" t="str">
        <x:v>HO</x:v>
      </x:c>
      <x:c r="D41" s="8" t="str">
        <x:v>Pendanaan</x:v>
      </x:c>
      <x:c r="E41" s="18" t="n">
        <x:v>1000000</x:v>
      </x:c>
      <x:c r="F41" s="8" t="str">
        <x:v>PAY-IC-001</x:v>
      </x:c>
      <x:c r="G41" s="19" t="n">
        <x:v>46276</x:v>
      </x:c>
      <x:c r="H41" s="8" t="str">
        <x:v>Disiapkan</x:v>
      </x:c>
    </x:row>
    <x:row r="43" ht="32" customHeight="1">
      <x:c r="A43" s="15" t="str">
        <x:v>Tombol / tindakan</x:v>
      </x:c>
      <x:c r="B43" s="14" t="str">
        <x:v>Pilih saldo; siapkan pembayaran; alokasikan; buka bukti</x:v>
      </x:c>
      <x:c r="C43" s="14"/>
      <x:c r="D43" s="14"/>
      <x:c r="E43" s="14"/>
      <x:c r="F43" s="14"/>
      <x:c r="G43" s="14"/>
      <x:c r="H43" s="14"/>
    </x:row>
    <x:row r="44" ht="32" customHeight="1">
      <x:c r="A44" s="15" t="str">
        <x:v>Status dokumen</x:v>
      </x:c>
      <x:c r="B44" s="14" t="str">
        <x:v>Disiapkan; disetujui; dibayar; teralokasi; dibalik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Saat baris dibuka</x:v>
      </x:c>
      <x:c r="B45" s="14" t="str">
        <x:v>Saldo tujuan, jenis hubungan, pembayaran, alokasi nominal dan jurnal dua pihak.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Alur</x:v>
      </x:c>
      <x:c r="B46" s="14" t="str">
        <x:v>Saldo hubungan → Kas &amp; Bank → alokasi keluarga yang sama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Tampilan kosong</x:v>
      </x:c>
      <x:c r="B47" s="14" t="str">
        <x:v>Tampilkan “Belum ada data sesuai filter”, pilihan hapus filter, dan aksi membuat/mengambil data hanya bila pengguna berwenang.</x:v>
      </x:c>
      <x:c r="C47" s="14"/>
      <x:c r="D47" s="14"/>
      <x:c r="E47" s="14"/>
      <x:c r="F47" s="14"/>
      <x:c r="G47" s="14"/>
      <x:c r="H47" s="14"/>
    </x:row>
    <x:row r="50" ht="27" customHeight="1">
      <x:c r="A50" s="17" t="str">
        <x:v>4. Rekonsiliasi</x:v>
      </x:c>
      <x:c r="B50" s="17" t="str">
        <x:v>4. Rekonsiliasi</x:v>
      </x:c>
      <x:c r="C50" s="17" t="str">
        <x:v>4. Rekonsiliasi</x:v>
      </x:c>
      <x:c r="D50" s="17" t="str">
        <x:v>4. Rekonsiliasi</x:v>
      </x:c>
      <x:c r="E50" s="17" t="str">
        <x:v>4. Rekonsiliasi</x:v>
      </x:c>
      <x:c r="F50" s="17" t="str">
        <x:v>4. Rekonsiliasi</x:v>
      </x:c>
      <x:c r="G50" s="17" t="str">
        <x:v>4. Rekonsiliasi</x:v>
      </x:c>
      <x:c r="H50" s="17" t="str">
        <x:v>4. Rekonsiliasi</x:v>
      </x:c>
    </x:row>
    <x:row r="51" ht="32" customHeight="1">
      <x:c r="A51" s="15" t="str">
        <x:v>Tujuan tab</x:v>
      </x:c>
      <x:c r="B51" s="14" t="str">
        <x:v>Penyelesaian perbedaan antarunit sebelum tutup buku.</x:v>
      </x:c>
      <x:c r="C51" s="14"/>
      <x:c r="D51" s="14"/>
      <x:c r="E51" s="14"/>
      <x:c r="F51" s="14"/>
      <x:c r="G51" s="14"/>
      <x:c r="H51" s="14"/>
    </x:row>
    <x:row r="52" ht="32" customHeight="1">
      <x:c r="A52" s="15" t="str">
        <x:v>Filter</x:v>
      </x:c>
      <x:c r="B52" s="14" t="str">
        <x:v>Periode; unit; lawan; penyebab</x:v>
      </x:c>
      <x:c r="C52" s="14"/>
      <x:c r="D52" s="14"/>
      <x:c r="E52" s="14"/>
      <x:c r="F52" s="14"/>
      <x:c r="G52" s="14"/>
      <x:c r="H52" s="14"/>
    </x:row>
    <x:row r="53" ht="36" customHeight="1">
      <x:c r="A53" s="10" t="str">
        <x:v>Kasus</x:v>
      </x:c>
      <x:c r="B53" s="10" t="str">
        <x:v>Unit</x:v>
      </x:c>
      <x:c r="C53" s="10" t="str">
        <x:v>Lawan</x:v>
      </x:c>
      <x:c r="D53" s="10" t="str">
        <x:v>Periode</x:v>
      </x:c>
      <x:c r="E53" s="10" t="str">
        <x:v>Dokumen</x:v>
      </x:c>
      <x:c r="F53" s="10" t="str">
        <x:v>Selisih Rp</x:v>
      </x:c>
      <x:c r="G53" s="10" t="str">
        <x:v>Penyebab</x:v>
      </x:c>
      <x:c r="H53" s="10" t="str">
        <x:v>Status</x:v>
      </x:c>
    </x:row>
    <x:row r="54" ht="48" customHeight="1">
      <x:c r="A54" s="8" t="str">
        <x:v>ICR-001</x:v>
      </x:c>
      <x:c r="B54" s="8" t="str">
        <x:v>C004</x:v>
      </x:c>
      <x:c r="C54" s="8" t="str">
        <x:v>HO</x:v>
      </x:c>
      <x:c r="D54" s="8" t="str">
        <x:v>2026-09</x:v>
      </x:c>
      <x:c r="E54" s="8" t="str">
        <x:v>SHP-002</x:v>
      </x:c>
      <x:c r="F54" s="18" t="n">
        <x:v>500000</x:v>
      </x:c>
      <x:c r="G54" s="8" t="str">
        <x:v>Belum diterima</x:v>
      </x:c>
      <x:c r="H54" s="8" t="str">
        <x:v>Terbuka</x:v>
      </x:c>
    </x:row>
    <x:row r="56" ht="32" customHeight="1">
      <x:c r="A56" s="15" t="str">
        <x:v>Tombol / tindakan</x:v>
      </x:c>
      <x:c r="B56" s="14" t="str">
        <x:v>Bandingkan; minta koreksi sumber; tandai selesai</x:v>
      </x:c>
      <x:c r="C56" s="14"/>
      <x:c r="D56" s="14"/>
      <x:c r="E56" s="14"/>
      <x:c r="F56" s="14"/>
      <x:c r="G56" s="14"/>
      <x:c r="H56" s="14"/>
    </x:row>
    <x:row r="57" ht="32" customHeight="1">
      <x:c r="A57" s="15" t="str">
        <x:v>Status dokumen</x:v>
      </x:c>
      <x:c r="B57" s="14" t="str">
        <x:v>Terbuka; dikonfirmasi; dikoreksi; selesai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Saat baris dibuka</x:v>
      </x:c>
      <x:c r="B58" s="14" t="str">
        <x:v>Bukti dua pihak, perbedaan waktu/nilai, tindakan pada sumber. Tidak membuat jurnal selisih otomatis tanpa dasar.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Alur</x:v>
      </x:c>
      <x:c r="B59" s="14" t="str">
        <x:v>Bandingkan → koreksi sumber → cocok → tutup buku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Tampilan kosong</x:v>
      </x:c>
      <x:c r="B60" s="14" t="str">
        <x:v>Tampilkan “Belum ada data sesuai filter”, pilihan hapus filter, dan aksi membuat/mengambil data hanya bila pengguna berwenang.</x:v>
      </x:c>
      <x:c r="C60" s="14"/>
      <x:c r="D60" s="14"/>
      <x:c r="E60" s="14"/>
      <x:c r="F60" s="14"/>
      <x:c r="G60" s="14"/>
      <x:c r="H60" s="14"/>
    </x:row>
    <x:row r="63" ht="28" customHeight="1">
      <x:c r="A63" s="27" t="str">
        <x:v>Detail sidebar, tombol, form dan tabel anak</x:v>
      </x:c>
      <x:c r="B63" s="27" t="str">
        <x:v>Detail sidebar, tombol, form dan tabel anak</x:v>
      </x:c>
      <x:c r="C63" s="27" t="str">
        <x:v>Detail sidebar, tombol, form dan tabel anak</x:v>
      </x:c>
      <x:c r="D63" s="27" t="str">
        <x:v>Detail sidebar, tombol, form dan tabel anak</x:v>
      </x:c>
      <x:c r="E63" s="27" t="str">
        <x:v>Detail sidebar, tombol, form dan tabel anak</x:v>
      </x:c>
      <x:c r="F63" s="27" t="str">
        <x:v>Detail sidebar, tombol, form dan tabel anak</x:v>
      </x:c>
      <x:c r="G63" s="27" t="str">
        <x:v>Detail sidebar, tombol, form dan tabel anak</x:v>
      </x:c>
      <x:c r="H63" s="27" t="str">
        <x:v>Detail sidebar, tombol, form dan tabel anak</x:v>
      </x:c>
    </x:row>
    <x:row r="64" ht="38" customHeight="1">
      <x:c r="A64" s="25" t="str">
        <x:v>Tab</x:v>
      </x:c>
      <x:c r="B64" s="25" t="str">
        <x:v>Sidebar detail</x:v>
      </x:c>
      <x:c r="C64" s="25" t="str">
        <x:v>Tombol</x:v>
      </x:c>
      <x:c r="D64" s="25" t="str">
        <x:v>Form</x:v>
      </x:c>
      <x:c r="E64" s="25" t="str">
        <x:v>Tabel anak</x:v>
      </x:c>
      <x:c r="F64" s="25" t="str">
        <x:v>Bentuk layar</x:v>
      </x:c>
    </x:row>
    <x:row r="65" ht="86" customHeight="1">
      <x:c r="A65" s="8" t="str">
        <x:v>Saldo &amp; pasangan</x:v>
      </x:c>
      <x:c r="B65" s="8" t="str">
        <x:v>Sheet 16: Saldo &amp; pasangan</x:v>
      </x:c>
      <x:c r="C65" s="8" t="str">
        <x:v>Sheet 17: Saldo &amp; pasangan</x:v>
      </x:c>
      <x:c r="D65" s="8" t="str">
        <x:v>F19; sheet 18–19</x:v>
      </x:c>
      <x:c r="E65" s="8" t="str">
        <x:v>S12; S13; sheet 20–21</x:v>
      </x:c>
      <x:c r="F65" s="8" t="str">
        <x:v>Sidebar detail; form sebagai mode terpisah</x:v>
      </x:c>
    </x:row>
    <x:row r="66" ht="86" customHeight="1">
      <x:c r="A66" s="8" t="str">
        <x:v>Transaksi</x:v>
      </x:c>
      <x:c r="B66" s="8" t="str">
        <x:v>Sheet 16: Transaksi</x:v>
      </x:c>
      <x:c r="C66" s="8" t="str">
        <x:v>Sheet 17: Transaksi</x:v>
      </x:c>
      <x:c r="D66" s="8" t="str">
        <x:v>F18, F01; sheet 18–19</x:v>
      </x:c>
      <x:c r="E66" s="8" t="str">
        <x:v>S12; S20; sheet 20–21</x:v>
      </x:c>
      <x:c r="F66" s="8" t="str">
        <x:v>Sidebar detail; form sebagai mode terpisah</x:v>
      </x:c>
    </x:row>
    <x:row r="67" ht="86" customHeight="1">
      <x:c r="A67" s="8" t="str">
        <x:v>Penyelesaian</x:v>
      </x:c>
      <x:c r="B67" s="8" t="str">
        <x:v>Sheet 16: Penyelesaian</x:v>
      </x:c>
      <x:c r="C67" s="8" t="str">
        <x:v>Sheet 17: Penyelesaian</x:v>
      </x:c>
      <x:c r="D67" s="8" t="str">
        <x:v>F18, F02, F03, F01; sheet 18–19</x:v>
      </x:c>
      <x:c r="E67" s="8" t="str">
        <x:v>S12; S03; S20; sheet 20–21</x:v>
      </x:c>
      <x:c r="F67" s="8" t="str">
        <x:v>Sidebar detail; form sebagai mode terpisah</x:v>
      </x:c>
    </x:row>
    <x:row r="68" ht="86" customHeight="1">
      <x:c r="A68" s="8" t="str">
        <x:v>Rekonsiliasi</x:v>
      </x:c>
      <x:c r="B68" s="8" t="str">
        <x:v>Sheet 16: Rekonsiliasi</x:v>
      </x:c>
      <x:c r="C68" s="8" t="str">
        <x:v>Sheet 17: Rekonsiliasi</x:v>
      </x:c>
      <x:c r="D68" s="8" t="str">
        <x:v>F19; sheet 18–19</x:v>
      </x:c>
      <x:c r="E68" s="8" t="str">
        <x:v>S13; S12; sheet 20–21</x:v>
      </x:c>
      <x:c r="F68" s="8" t="str">
        <x:v>Sidebar detail; form sebagai mode terpisah</x:v>
      </x:c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7:H17"/>
    <x:mergeCell ref="B18:H18"/>
    <x:mergeCell ref="B19:H19"/>
    <x:mergeCell ref="B20:H20"/>
    <x:mergeCell ref="B21:H21"/>
    <x:mergeCell ref="A24:H24"/>
    <x:mergeCell ref="B25:H25"/>
    <x:mergeCell ref="B26:H26"/>
    <x:mergeCell ref="B30:H30"/>
    <x:mergeCell ref="B31:H31"/>
    <x:mergeCell ref="B32:H32"/>
    <x:mergeCell ref="B33:H33"/>
    <x:mergeCell ref="B34:H34"/>
    <x:mergeCell ref="A37:H37"/>
    <x:mergeCell ref="B38:H38"/>
    <x:mergeCell ref="B39:H39"/>
    <x:mergeCell ref="B43:H43"/>
    <x:mergeCell ref="B44:H44"/>
    <x:mergeCell ref="B45:H45"/>
    <x:mergeCell ref="B46:H46"/>
    <x:mergeCell ref="B47:H47"/>
    <x:mergeCell ref="A50:H50"/>
    <x:mergeCell ref="B51:H51"/>
    <x:mergeCell ref="B52:H52"/>
    <x:mergeCell ref="B56:H56"/>
    <x:mergeCell ref="B57:H57"/>
    <x:mergeCell ref="B58:H58"/>
    <x:mergeCell ref="B59:H59"/>
    <x:mergeCell ref="B60:H60"/>
    <x:mergeCell ref="A63:H63"/>
  </x:mergeCells>
  <x:pageMargins left="0.7" right="0.7" top="0.75" bottom="0.75" header="0.3" footer="0.3"/>
  <x:tableParts count="5">
    <x:tablePart xmlns:r="http://schemas.openxmlformats.org/officeDocument/2006/relationships" r:id="Rb2c52360f8864124"/>
    <x:tablePart xmlns:r="http://schemas.openxmlformats.org/officeDocument/2006/relationships" r:id="Rfb74c84d5d0b4460"/>
    <x:tablePart xmlns:r="http://schemas.openxmlformats.org/officeDocument/2006/relationships" r:id="R083ec27497a94b20"/>
    <x:tablePart xmlns:r="http://schemas.openxmlformats.org/officeDocument/2006/relationships" r:id="Rf5ab96f6daa44a63"/>
    <x:tablePart xmlns:r="http://schemas.openxmlformats.org/officeDocument/2006/relationships" r:id="R21c7ba718942427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Aset &amp; Proyek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Mengelola biaya pembangunan, kapitalisasi, umur manfaat dan pelepasan aset.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Akuntan aset dan pemilik proyek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Tagihan vendor tetap di Tagihan. Proyek/aset menyimpan alokasi dan keputusan kapitalisasi, memakai sumber tagihan yang sama.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Nilai buku aset; proyek berjalan; kapitalisasi tertunda; penyusutan periode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Cakupan kelas aset perlu dilengkapi; biaya terkait akuisisi harus mengikuti dokumen sumber, bukan otomatis dibuat ganda.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Daftar aset — tab awal</x:v>
      </x:c>
      <x:c r="B11" s="17" t="str">
        <x:v>1. Daftar aset — tab awal</x:v>
      </x:c>
      <x:c r="C11" s="17" t="str">
        <x:v>1. Daftar aset — tab awal</x:v>
      </x:c>
      <x:c r="D11" s="17" t="str">
        <x:v>1. Daftar aset — tab awal</x:v>
      </x:c>
      <x:c r="E11" s="17" t="str">
        <x:v>1. Daftar aset — tab awal</x:v>
      </x:c>
      <x:c r="F11" s="17" t="str">
        <x:v>1. Daftar aset — tab awal</x:v>
      </x:c>
      <x:c r="G11" s="17" t="str">
        <x:v>1. Daftar aset — tab awal</x:v>
      </x:c>
      <x:c r="H11" s="17" t="str">
        <x:v>1. Daftar aset — tab awal</x:v>
      </x:c>
    </x:row>
    <x:row r="12" ht="32" customHeight="1">
      <x:c r="A12" s="15" t="str">
        <x:v>Tujuan tab</x:v>
      </x:c>
      <x:c r="B12" s="14" t="str">
        <x:v>Register aset per unit dan kelas.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Unit; kelas; lokasi; status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Aset</x:v>
      </x:c>
      <x:c r="B14" s="10" t="str">
        <x:v>Nama</x:v>
      </x:c>
      <x:c r="C14" s="10" t="str">
        <x:v>Unit</x:v>
      </x:c>
      <x:c r="D14" s="10" t="str">
        <x:v>Kelas</x:v>
      </x:c>
      <x:c r="E14" s="10" t="str">
        <x:v>Perolehan Rp</x:v>
      </x:c>
      <x:c r="F14" s="10" t="str">
        <x:v>Akumulasi Rp</x:v>
      </x:c>
      <x:c r="G14" s="10" t="str">
        <x:v>Nilai buku Rp</x:v>
      </x:c>
      <x:c r="H14" s="10" t="str">
        <x:v>Status</x:v>
      </x:c>
    </x:row>
    <x:row r="15" ht="48" customHeight="1">
      <x:c r="A15" s="8" t="str">
        <x:v>AST-001</x:v>
      </x:c>
      <x:c r="B15" s="8" t="str">
        <x:v>Peralatan toko</x:v>
      </x:c>
      <x:c r="C15" s="8" t="str">
        <x:v>C006</x:v>
      </x:c>
      <x:c r="D15" s="8" t="str">
        <x:v>Peralatan</x:v>
      </x:c>
      <x:c r="E15" s="18" t="n">
        <x:v>24000000</x:v>
      </x:c>
      <x:c r="F15" s="18" t="n">
        <x:v>0</x:v>
      </x:c>
      <x:c r="G15" s="18" t="n">
        <x:f>E15-F15</x:f>
        <x:v>24000000</x:v>
      </x:c>
      <x:c r="H15" s="8" t="str">
        <x:v>Aktif</x:v>
      </x:c>
    </x:row>
    <x:row r="17" ht="32" customHeight="1">
      <x:c r="A17" s="15" t="str">
        <x:v>Tombol / tindakan</x:v>
      </x:c>
      <x:c r="B17" s="14" t="str">
        <x:v>Lihat aset; kapitalisasi dari sumber; ajukan transfer/pelepasan</x:v>
      </x:c>
      <x:c r="C17" s="14"/>
      <x:c r="D17" s="14"/>
      <x:c r="E17" s="14"/>
      <x:c r="F17" s="14"/>
      <x:c r="G17" s="14"/>
      <x:c r="H17" s="14"/>
    </x:row>
    <x:row r="18" ht="32" customHeight="1">
      <x:c r="A18" s="15" t="str">
        <x:v>Status dokumen</x:v>
      </x:c>
      <x:c r="B18" s="14" t="str">
        <x:v>Dalam persiapan; aktif; dihentikan; dilepas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Saat baris dibuka</x:v>
      </x:c>
      <x:c r="B19" s="14" t="str">
        <x:v>Sumber biaya, tanggal siap pakai, umur manfaat, penanggung jawab, jadwal, perpindahan dan jurnal.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Alur</x:v>
      </x:c>
      <x:c r="B20" s="14" t="str">
        <x:v>Biaya/proyek → siap pakai → aset → penyusutan → pelepasan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Tampilan kosong</x:v>
      </x:c>
      <x:c r="B21" s="14" t="str">
        <x:v>Tampilkan “Belum ada data sesuai filter”, pilihan hapus filter, dan aksi membuat/mengambil data hanya bila pengguna berwenang.</x:v>
      </x:c>
      <x:c r="C21" s="14"/>
      <x:c r="D21" s="14"/>
      <x:c r="E21" s="14"/>
      <x:c r="F21" s="14"/>
      <x:c r="G21" s="14"/>
      <x:c r="H21" s="14"/>
    </x:row>
    <x:row r="24" ht="27" customHeight="1">
      <x:c r="A24" s="17" t="str">
        <x:v>2. Proyek berjalan</x:v>
      </x:c>
      <x:c r="B24" s="17" t="str">
        <x:v>2. Proyek berjalan</x:v>
      </x:c>
      <x:c r="C24" s="17" t="str">
        <x:v>2. Proyek berjalan</x:v>
      </x:c>
      <x:c r="D24" s="17" t="str">
        <x:v>2. Proyek berjalan</x:v>
      </x:c>
      <x:c r="E24" s="17" t="str">
        <x:v>2. Proyek berjalan</x:v>
      </x:c>
      <x:c r="F24" s="17" t="str">
        <x:v>2. Proyek berjalan</x:v>
      </x:c>
      <x:c r="G24" s="17" t="str">
        <x:v>2. Proyek berjalan</x:v>
      </x:c>
      <x:c r="H24" s="17" t="str">
        <x:v>2. Proyek berjalan</x:v>
      </x:c>
    </x:row>
    <x:row r="25" ht="32" customHeight="1">
      <x:c r="A25" s="15" t="str">
        <x:v>Tujuan tab</x:v>
      </x:c>
      <x:c r="B25" s="14" t="str">
        <x:v>Biaya yang dikumpulkan sebelum menjadi aset atau beban.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Filter</x:v>
      </x:c>
      <x:c r="B26" s="14" t="str">
        <x:v>Unit; proyek; status; periode</x:v>
      </x:c>
      <x:c r="C26" s="14"/>
      <x:c r="D26" s="14"/>
      <x:c r="E26" s="14"/>
      <x:c r="F26" s="14"/>
      <x:c r="G26" s="14"/>
      <x:c r="H26" s="14"/>
    </x:row>
    <x:row r="27" ht="36" customHeight="1">
      <x:c r="A27" s="10" t="str">
        <x:v>Proyek</x:v>
      </x:c>
      <x:c r="B27" s="10" t="str">
        <x:v>Unit</x:v>
      </x:c>
      <x:c r="C27" s="10" t="str">
        <x:v>Penanggung jawab</x:v>
      </x:c>
      <x:c r="D27" s="10" t="str">
        <x:v>Mulai</x:v>
      </x:c>
      <x:c r="E27" s="10" t="str">
        <x:v>Biaya Rp</x:v>
      </x:c>
      <x:c r="F27" s="10" t="str">
        <x:v>Dikapitalisasi Rp</x:v>
      </x:c>
      <x:c r="G27" s="10" t="str">
        <x:v>Sisa Rp</x:v>
      </x:c>
      <x:c r="H27" s="10" t="str">
        <x:v>Status</x:v>
      </x:c>
    </x:row>
    <x:row r="28" ht="48" customHeight="1">
      <x:c r="A28" s="8" t="str">
        <x:v>PRJ-001</x:v>
      </x:c>
      <x:c r="B28" s="8" t="str">
        <x:v>C006</x:v>
      </x:c>
      <x:c r="C28" s="8" t="str">
        <x:v>Pemilik proyek</x:v>
      </x:c>
      <x:c r="D28" s="19" t="n">
        <x:v>46266</x:v>
      </x:c>
      <x:c r="E28" s="18" t="n">
        <x:v>30000000</x:v>
      </x:c>
      <x:c r="F28" s="18" t="n">
        <x:v>0</x:v>
      </x:c>
      <x:c r="G28" s="18" t="n">
        <x:f>E28-F28</x:f>
        <x:v>30000000</x:v>
      </x:c>
      <x:c r="H28" s="8" t="str">
        <x:v>Berjalan</x:v>
      </x:c>
    </x:row>
    <x:row r="30" ht="32" customHeight="1">
      <x:c r="A30" s="15" t="str">
        <x:v>Tombol / tindakan</x:v>
      </x:c>
      <x:c r="B30" s="14" t="str">
        <x:v>Buat proyek; tautkan tagihan; review biaya; kapitalisasi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Status dokumen</x:v>
      </x:c>
      <x:c r="B31" s="14" t="str">
        <x:v>Draf; berjalan; siap kapitalisasi; selesai</x:v>
      </x:c>
      <x:c r="C31" s="14"/>
      <x:c r="D31" s="14"/>
      <x:c r="E31" s="14"/>
      <x:c r="F31" s="14"/>
      <x:c r="G31" s="14"/>
      <x:c r="H31" s="14"/>
    </x:row>
    <x:row r="32" ht="32" customHeight="1">
      <x:c r="A32" s="15" t="str">
        <x:v>Saat baris dibuka</x:v>
      </x:c>
      <x:c r="B32" s="14" t="str">
        <x:v>Baris biaya sumber, komponen aset, bukti siap pakai dan biaya yang dibebankan.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Alur</x:v>
      </x:c>
      <x:c r="B33" s="14" t="str">
        <x:v>Tagihan proyek → review klasifikasi → kapitalisasi/beban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Tampilan kosong</x:v>
      </x:c>
      <x:c r="B34" s="14" t="str">
        <x:v>Tampilkan “Belum ada data sesuai filter”, pilihan hapus filter, dan aksi membuat/mengambil data hanya bila pengguna berwenang.</x:v>
      </x:c>
      <x:c r="C34" s="14"/>
      <x:c r="D34" s="14"/>
      <x:c r="E34" s="14"/>
      <x:c r="F34" s="14"/>
      <x:c r="G34" s="14"/>
      <x:c r="H34" s="14"/>
    </x:row>
    <x:row r="37" ht="27" customHeight="1">
      <x:c r="A37" s="17" t="str">
        <x:v>3. Penyusutan &amp; amortisasi</x:v>
      </x:c>
      <x:c r="B37" s="17" t="str">
        <x:v>3. Penyusutan &amp; amortisasi</x:v>
      </x:c>
      <x:c r="C37" s="17" t="str">
        <x:v>3. Penyusutan &amp; amortisasi</x:v>
      </x:c>
      <x:c r="D37" s="17" t="str">
        <x:v>3. Penyusutan &amp; amortisasi</x:v>
      </x:c>
      <x:c r="E37" s="17" t="str">
        <x:v>3. Penyusutan &amp; amortisasi</x:v>
      </x:c>
      <x:c r="F37" s="17" t="str">
        <x:v>3. Penyusutan &amp; amortisasi</x:v>
      </x:c>
      <x:c r="G37" s="17" t="str">
        <x:v>3. Penyusutan &amp; amortisasi</x:v>
      </x:c>
      <x:c r="H37" s="17" t="str">
        <x:v>3. Penyusutan &amp; amortisasi</x:v>
      </x:c>
    </x:row>
    <x:row r="38" ht="32" customHeight="1">
      <x:c r="A38" s="15" t="str">
        <x:v>Tujuan tab</x:v>
      </x:c>
      <x:c r="B38" s="14" t="str">
        <x:v>Jadwal periodik yang akan diperiksa saat tutup buku.</x:v>
      </x:c>
      <x:c r="C38" s="14"/>
      <x:c r="D38" s="14"/>
      <x:c r="E38" s="14"/>
      <x:c r="F38" s="14"/>
      <x:c r="G38" s="14"/>
      <x:c r="H38" s="14"/>
    </x:row>
    <x:row r="39" ht="32" customHeight="1">
      <x:c r="A39" s="15" t="str">
        <x:v>Filter</x:v>
      </x:c>
      <x:c r="B39" s="14" t="str">
        <x:v>Periode; unit; kelas; status posting</x:v>
      </x:c>
      <x:c r="C39" s="14"/>
      <x:c r="D39" s="14"/>
      <x:c r="E39" s="14"/>
      <x:c r="F39" s="14"/>
      <x:c r="G39" s="14"/>
      <x:c r="H39" s="14"/>
    </x:row>
    <x:row r="40" ht="36" customHeight="1">
      <x:c r="A40" s="10" t="str">
        <x:v>Aset/jadwal</x:v>
      </x:c>
      <x:c r="B40" s="10" t="str">
        <x:v>Unit</x:v>
      </x:c>
      <x:c r="C40" s="10" t="str">
        <x:v>Periode</x:v>
      </x:c>
      <x:c r="D40" s="10" t="str">
        <x:v>Dasar Rp</x:v>
      </x:c>
      <x:c r="E40" s="10" t="str">
        <x:v>Beban periode Rp</x:v>
      </x:c>
      <x:c r="F40" s="10" t="str">
        <x:v>Sisa Rp</x:v>
      </x:c>
      <x:c r="G40" s="10" t="str">
        <x:v>Status</x:v>
      </x:c>
      <x:c r="H40" s="10" t="str">
        <x:v>Aksi</x:v>
      </x:c>
    </x:row>
    <x:row r="41" ht="48" customHeight="1">
      <x:c r="A41" s="8" t="str">
        <x:v>AST-001</x:v>
      </x:c>
      <x:c r="B41" s="8" t="str">
        <x:v>C006</x:v>
      </x:c>
      <x:c r="C41" s="8" t="str">
        <x:v>2026-09</x:v>
      </x:c>
      <x:c r="D41" s="18" t="n">
        <x:v>24000000</x:v>
      </x:c>
      <x:c r="E41" s="18" t="n">
        <x:v>500000</x:v>
      </x:c>
      <x:c r="F41" s="18" t="n">
        <x:f>D41-E41</x:f>
        <x:v>23500000</x:v>
      </x:c>
      <x:c r="G41" s="8" t="str">
        <x:v>Usulan</x:v>
      </x:c>
      <x:c r="H41" s="8" t="str">
        <x:v>Tinjau jadwal</x:v>
      </x:c>
    </x:row>
    <x:row r="43" ht="32" customHeight="1">
      <x:c r="A43" s="15" t="str">
        <x:v>Tombol / tindakan</x:v>
      </x:c>
      <x:c r="B43" s="14" t="str">
        <x:v>Tinjau; perbaiki sumber; buka jurnal periode</x:v>
      </x:c>
      <x:c r="C43" s="14"/>
      <x:c r="D43" s="14"/>
      <x:c r="E43" s="14"/>
      <x:c r="F43" s="14"/>
      <x:c r="G43" s="14"/>
      <x:c r="H43" s="14"/>
    </x:row>
    <x:row r="44" ht="32" customHeight="1">
      <x:c r="A44" s="15" t="str">
        <x:v>Status dokumen</x:v>
      </x:c>
      <x:c r="B44" s="14" t="str">
        <x:v>Usulan; direview; diposting; dibalik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Saat baris dibuka</x:v>
      </x:c>
      <x:c r="B45" s="14" t="str">
        <x:v>Dasar hitung, masa manfaat dan kebijakan, perubahan, jurnal. Angka contoh bukan kebijakan umur manfaat perusahaan.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Alur</x:v>
      </x:c>
      <x:c r="B46" s="14" t="str">
        <x:v>Jadwal → review Akuntansi → posting periode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Tampilan kosong</x:v>
      </x:c>
      <x:c r="B47" s="14" t="str">
        <x:v>Tampilkan “Belum ada data sesuai filter”, pilihan hapus filter, dan aksi membuat/mengambil data hanya bila pengguna berwenang.</x:v>
      </x:c>
      <x:c r="C47" s="14"/>
      <x:c r="D47" s="14"/>
      <x:c r="E47" s="14"/>
      <x:c r="F47" s="14"/>
      <x:c r="G47" s="14"/>
      <x:c r="H47" s="14"/>
    </x:row>
    <x:row r="50" ht="27" customHeight="1">
      <x:c r="A50" s="17" t="str">
        <x:v>4. Transfer &amp; pelepasan</x:v>
      </x:c>
      <x:c r="B50" s="17" t="str">
        <x:v>4. Transfer &amp; pelepasan</x:v>
      </x:c>
      <x:c r="C50" s="17" t="str">
        <x:v>4. Transfer &amp; pelepasan</x:v>
      </x:c>
      <x:c r="D50" s="17" t="str">
        <x:v>4. Transfer &amp; pelepasan</x:v>
      </x:c>
      <x:c r="E50" s="17" t="str">
        <x:v>4. Transfer &amp; pelepasan</x:v>
      </x:c>
      <x:c r="F50" s="17" t="str">
        <x:v>4. Transfer &amp; pelepasan</x:v>
      </x:c>
      <x:c r="G50" s="17" t="str">
        <x:v>4. Transfer &amp; pelepasan</x:v>
      </x:c>
      <x:c r="H50" s="17" t="str">
        <x:v>4. Transfer &amp; pelepasan</x:v>
      </x:c>
    </x:row>
    <x:row r="51" ht="32" customHeight="1">
      <x:c r="A51" s="15" t="str">
        <x:v>Tujuan tab</x:v>
      </x:c>
      <x:c r="B51" s="14" t="str">
        <x:v>Perubahan penguasaan atau penghentian aset.</x:v>
      </x:c>
      <x:c r="C51" s="14"/>
      <x:c r="D51" s="14"/>
      <x:c r="E51" s="14"/>
      <x:c r="F51" s="14"/>
      <x:c r="G51" s="14"/>
      <x:c r="H51" s="14"/>
    </x:row>
    <x:row r="52" ht="32" customHeight="1">
      <x:c r="A52" s="15" t="str">
        <x:v>Filter</x:v>
      </x:c>
      <x:c r="B52" s="14" t="str">
        <x:v>Jenis; unit; aset; status</x:v>
      </x:c>
      <x:c r="C52" s="14"/>
      <x:c r="D52" s="14"/>
      <x:c r="E52" s="14"/>
      <x:c r="F52" s="14"/>
      <x:c r="G52" s="14"/>
      <x:c r="H52" s="14"/>
    </x:row>
    <x:row r="53" ht="36" customHeight="1">
      <x:c r="A53" s="10" t="str">
        <x:v>Dokumen</x:v>
      </x:c>
      <x:c r="B53" s="10" t="str">
        <x:v>Aset</x:v>
      </x:c>
      <x:c r="C53" s="10" t="str">
        <x:v>Jenis</x:v>
      </x:c>
      <x:c r="D53" s="10" t="str">
        <x:v>Dari</x:v>
      </x:c>
      <x:c r="E53" s="10" t="str">
        <x:v>Ke/pihak</x:v>
      </x:c>
      <x:c r="F53" s="10" t="str">
        <x:v>Nilai buku Rp</x:v>
      </x:c>
      <x:c r="G53" s="10" t="str">
        <x:v>Tanggal</x:v>
      </x:c>
      <x:c r="H53" s="10" t="str">
        <x:v>Status</x:v>
      </x:c>
    </x:row>
    <x:row r="54" ht="48" customHeight="1">
      <x:c r="A54" s="8" t="str">
        <x:v>AMV-001</x:v>
      </x:c>
      <x:c r="B54" s="8" t="str">
        <x:v>AST-001</x:v>
      </x:c>
      <x:c r="C54" s="8" t="str">
        <x:v>Transfer</x:v>
      </x:c>
      <x:c r="D54" s="8" t="str">
        <x:v>C006</x:v>
      </x:c>
      <x:c r="E54" s="8" t="str">
        <x:v>C004</x:v>
      </x:c>
      <x:c r="F54" s="18" t="n">
        <x:v>24000000</x:v>
      </x:c>
      <x:c r="G54" s="19" t="n">
        <x:v>46280</x:v>
      </x:c>
      <x:c r="H54" s="8" t="str">
        <x:v>Diajukan</x:v>
      </x:c>
    </x:row>
    <x:row r="56" ht="32" customHeight="1">
      <x:c r="A56" s="15" t="str">
        <x:v>Tombol / tindakan</x:v>
      </x:c>
      <x:c r="B56" s="14" t="str">
        <x:v>Ajukan; setujui; konfirmasi serah terima; buka penerimaan penjualan</x:v>
      </x:c>
      <x:c r="C56" s="14"/>
      <x:c r="D56" s="14"/>
      <x:c r="E56" s="14"/>
      <x:c r="F56" s="14"/>
      <x:c r="G56" s="14"/>
      <x:c r="H56" s="14"/>
    </x:row>
    <x:row r="57" ht="32" customHeight="1">
      <x:c r="A57" s="15" t="str">
        <x:v>Status dokumen</x:v>
      </x:c>
      <x:c r="B57" s="14" t="str">
        <x:v>Diajukan; disetujui; selesai; dibatalkan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Saat baris dibuka</x:v>
      </x:c>
      <x:c r="B58" s="14" t="str">
        <x:v>Persetujuan, nilai buku, penerimaan jika dijual, laba/rugi dan pasangan Antarunit jika relevan.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Alur</x:v>
      </x:c>
      <x:c r="B59" s="14" t="str">
        <x:v>Permintaan → persetujuan → serah terima/penjualan → jurnal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Tampilan kosong</x:v>
      </x:c>
      <x:c r="B60" s="14" t="str">
        <x:v>Tampilkan “Belum ada data sesuai filter”, pilihan hapus filter, dan aksi membuat/mengambil data hanya bila pengguna berwenang.</x:v>
      </x:c>
      <x:c r="C60" s="14"/>
      <x:c r="D60" s="14"/>
      <x:c r="E60" s="14"/>
      <x:c r="F60" s="14"/>
      <x:c r="G60" s="14"/>
      <x:c r="H60" s="14"/>
    </x:row>
    <x:row r="63" ht="28" customHeight="1">
      <x:c r="A63" s="27" t="str">
        <x:v>Detail sidebar, tombol, form dan tabel anak</x:v>
      </x:c>
      <x:c r="B63" s="27" t="str">
        <x:v>Detail sidebar, tombol, form dan tabel anak</x:v>
      </x:c>
      <x:c r="C63" s="27" t="str">
        <x:v>Detail sidebar, tombol, form dan tabel anak</x:v>
      </x:c>
      <x:c r="D63" s="27" t="str">
        <x:v>Detail sidebar, tombol, form dan tabel anak</x:v>
      </x:c>
      <x:c r="E63" s="27" t="str">
        <x:v>Detail sidebar, tombol, form dan tabel anak</x:v>
      </x:c>
      <x:c r="F63" s="27" t="str">
        <x:v>Detail sidebar, tombol, form dan tabel anak</x:v>
      </x:c>
      <x:c r="G63" s="27" t="str">
        <x:v>Detail sidebar, tombol, form dan tabel anak</x:v>
      </x:c>
      <x:c r="H63" s="27" t="str">
        <x:v>Detail sidebar, tombol, form dan tabel anak</x:v>
      </x:c>
    </x:row>
    <x:row r="64" ht="38" customHeight="1">
      <x:c r="A64" s="25" t="str">
        <x:v>Tab</x:v>
      </x:c>
      <x:c r="B64" s="25" t="str">
        <x:v>Sidebar detail</x:v>
      </x:c>
      <x:c r="C64" s="25" t="str">
        <x:v>Tombol</x:v>
      </x:c>
      <x:c r="D64" s="25" t="str">
        <x:v>Form</x:v>
      </x:c>
      <x:c r="E64" s="25" t="str">
        <x:v>Tabel anak</x:v>
      </x:c>
      <x:c r="F64" s="25" t="str">
        <x:v>Bentuk layar</x:v>
      </x:c>
    </x:row>
    <x:row r="65" ht="86" customHeight="1">
      <x:c r="A65" s="8" t="str">
        <x:v>Daftar aset</x:v>
      </x:c>
      <x:c r="B65" s="8" t="str">
        <x:v>Sheet 16: Daftar aset</x:v>
      </x:c>
      <x:c r="C65" s="8" t="str">
        <x:v>Sheet 17: Daftar aset</x:v>
      </x:c>
      <x:c r="D65" s="8" t="str">
        <x:v>F20, F21; sheet 18–19</x:v>
      </x:c>
      <x:c r="E65" s="8" t="str">
        <x:v>S14; S09; S20; sheet 20–21</x:v>
      </x:c>
      <x:c r="F65" s="8" t="str">
        <x:v>Sidebar detail; form sebagai mode terpisah</x:v>
      </x:c>
    </x:row>
    <x:row r="66" ht="86" customHeight="1">
      <x:c r="A66" s="8" t="str">
        <x:v>Proyek berjalan</x:v>
      </x:c>
      <x:c r="B66" s="8" t="str">
        <x:v>Sheet 16: Proyek berjalan</x:v>
      </x:c>
      <x:c r="C66" s="8" t="str">
        <x:v>Sheet 17: Proyek berjalan</x:v>
      </x:c>
      <x:c r="D66" s="8" t="str">
        <x:v>F20, F01; sheet 18–19</x:v>
      </x:c>
      <x:c r="E66" s="8" t="str">
        <x:v>S15; S14; S06; sheet 20–21</x:v>
      </x:c>
      <x:c r="F66" s="8" t="str">
        <x:v>Sidebar detail; form sebagai mode terpisah</x:v>
      </x:c>
    </x:row>
    <x:row r="67" ht="86" customHeight="1">
      <x:c r="A67" s="8" t="str">
        <x:v>Penyusutan &amp; amortisasi</x:v>
      </x:c>
      <x:c r="B67" s="8" t="str">
        <x:v>Sheet 16: Penyusutan &amp; amortisasi</x:v>
      </x:c>
      <x:c r="C67" s="8" t="str">
        <x:v>Sheet 17: Penyusutan &amp; amortisasi</x:v>
      </x:c>
      <x:c r="D67" s="8" t="str">
        <x:v>F22; sheet 18–19</x:v>
      </x:c>
      <x:c r="E67" s="8" t="str">
        <x:v>S09; S20; sheet 20–21</x:v>
      </x:c>
      <x:c r="F67" s="8" t="str">
        <x:v>Sidebar detail; form sebagai mode terpisah</x:v>
      </x:c>
    </x:row>
    <x:row r="68" ht="86" customHeight="1">
      <x:c r="A68" s="8" t="str">
        <x:v>Transfer &amp; pelepasan</x:v>
      </x:c>
      <x:c r="B68" s="8" t="str">
        <x:v>Sheet 16: Transfer &amp; pelepasan</x:v>
      </x:c>
      <x:c r="C68" s="8" t="str">
        <x:v>Sheet 17: Transfer &amp; pelepasan</x:v>
      </x:c>
      <x:c r="D68" s="8" t="str">
        <x:v>F21, F03, F01; sheet 18–19</x:v>
      </x:c>
      <x:c r="E68" s="8" t="str">
        <x:v>S14; S03; S12; S20; sheet 20–21</x:v>
      </x:c>
      <x:c r="F68" s="8" t="str">
        <x:v>Sidebar detail; form sebagai mode terpisah</x:v>
      </x:c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7:H17"/>
    <x:mergeCell ref="B18:H18"/>
    <x:mergeCell ref="B19:H19"/>
    <x:mergeCell ref="B20:H20"/>
    <x:mergeCell ref="B21:H21"/>
    <x:mergeCell ref="A24:H24"/>
    <x:mergeCell ref="B25:H25"/>
    <x:mergeCell ref="B26:H26"/>
    <x:mergeCell ref="B30:H30"/>
    <x:mergeCell ref="B31:H31"/>
    <x:mergeCell ref="B32:H32"/>
    <x:mergeCell ref="B33:H33"/>
    <x:mergeCell ref="B34:H34"/>
    <x:mergeCell ref="A37:H37"/>
    <x:mergeCell ref="B38:H38"/>
    <x:mergeCell ref="B39:H39"/>
    <x:mergeCell ref="B43:H43"/>
    <x:mergeCell ref="B44:H44"/>
    <x:mergeCell ref="B45:H45"/>
    <x:mergeCell ref="B46:H46"/>
    <x:mergeCell ref="B47:H47"/>
    <x:mergeCell ref="A50:H50"/>
    <x:mergeCell ref="B51:H51"/>
    <x:mergeCell ref="B52:H52"/>
    <x:mergeCell ref="B56:H56"/>
    <x:mergeCell ref="B57:H57"/>
    <x:mergeCell ref="B58:H58"/>
    <x:mergeCell ref="B59:H59"/>
    <x:mergeCell ref="B60:H60"/>
    <x:mergeCell ref="A63:H63"/>
  </x:mergeCells>
  <x:pageMargins left="0.7" right="0.7" top="0.75" bottom="0.75" header="0.3" footer="0.3"/>
  <x:tableParts count="5">
    <x:tablePart xmlns:r="http://schemas.openxmlformats.org/officeDocument/2006/relationships" r:id="R716102ab45cd4709"/>
    <x:tablePart xmlns:r="http://schemas.openxmlformats.org/officeDocument/2006/relationships" r:id="R7f503b866c644484"/>
    <x:tablePart xmlns:r="http://schemas.openxmlformats.org/officeDocument/2006/relationships" r:id="Rf2fe4c5704af4c87"/>
    <x:tablePart xmlns:r="http://schemas.openxmlformats.org/officeDocument/2006/relationships" r:id="R435df95d0a0c43e9"/>
    <x:tablePart xmlns:r="http://schemas.openxmlformats.org/officeDocument/2006/relationships" r:id="R08bf47f2bba04e7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Payroll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Menyelesaikan kewajiban pegawai berdasarkan payroll yang disetujui HR.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Finance payroll dengan akses terbatas</x:v>
      </x:c>
      <x:c r="C6" s="14"/>
      <x:c r="D6" s="14"/>
      <x:c r="E6" s="14"/>
      <x:c r="F6" s="14"/>
      <x:c r="G6" s="14"/>
      <x:c r="H6" s="14"/>
    </x:row>
    <x:row r="7" ht="40" customHeight="1">
      <x:c r="A7" s="15" t="str">
        <x:v>Batas tanggung jawab</x:v>
      </x:c>
      <x:c r="B7" s="14" t="str">
        <x:v>HR memiliki data pegawai, kehadiran dan perhitungan dasar. Finance memvalidasi kewajiban dan pembayaran; pajak diselesaikan di Pajak.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Batch siap bayar; gaji belum dibayar; potongan; piutang pegawai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Potongan pinjaman wajib terhubung ke payroll/jurnal; tidak cukup mengubah saldo pelunasan register.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Batch payroll — tab awal</x:v>
      </x:c>
      <x:c r="B11" s="17" t="str">
        <x:v>1. Batch payroll — tab awal</x:v>
      </x:c>
      <x:c r="C11" s="17" t="str">
        <x:v>1. Batch payroll — tab awal</x:v>
      </x:c>
      <x:c r="D11" s="17" t="str">
        <x:v>1. Batch payroll — tab awal</x:v>
      </x:c>
      <x:c r="E11" s="17" t="str">
        <x:v>1. Batch payroll — tab awal</x:v>
      </x:c>
      <x:c r="F11" s="17" t="str">
        <x:v>1. Batch payroll — tab awal</x:v>
      </x:c>
      <x:c r="G11" s="17" t="str">
        <x:v>1. Batch payroll — tab awal</x:v>
      </x:c>
      <x:c r="H11" s="17" t="str">
        <x:v>1. Batch payroll — tab awal</x:v>
      </x:c>
    </x:row>
    <x:row r="12" ht="32" customHeight="1">
      <x:c r="A12" s="15" t="str">
        <x:v>Tujuan tab</x:v>
      </x:c>
      <x:c r="B12" s="14" t="str">
        <x:v>Batch payroll untuk review dan pembayaran.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Periode; unit; status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Batch</x:v>
      </x:c>
      <x:c r="B14" s="10" t="str">
        <x:v>Periode</x:v>
      </x:c>
      <x:c r="C14" s="10" t="str">
        <x:v>Unit</x:v>
      </x:c>
      <x:c r="D14" s="10" t="str">
        <x:v>Pegawai</x:v>
      </x:c>
      <x:c r="E14" s="10" t="str">
        <x:v>Bruto Rp</x:v>
      </x:c>
      <x:c r="F14" s="10" t="str">
        <x:v>Potongan Rp</x:v>
      </x:c>
      <x:c r="G14" s="10" t="str">
        <x:v>Neto Rp</x:v>
      </x:c>
      <x:c r="H14" s="10" t="str">
        <x:v>Status</x:v>
      </x:c>
    </x:row>
    <x:row r="15" ht="48" customHeight="1">
      <x:c r="A15" s="8" t="str">
        <x:v>PR-001</x:v>
      </x:c>
      <x:c r="B15" s="8" t="str">
        <x:v>2026-09</x:v>
      </x:c>
      <x:c r="C15" s="8" t="str">
        <x:v>C006</x:v>
      </x:c>
      <x:c r="D15" s="8" t="n">
        <x:v>1</x:v>
      </x:c>
      <x:c r="E15" s="18" t="n">
        <x:v>5000000</x:v>
      </x:c>
      <x:c r="F15" s="18" t="n">
        <x:v>500000</x:v>
      </x:c>
      <x:c r="G15" s="18" t="n">
        <x:f>E15-F15</x:f>
        <x:v>4500000</x:v>
      </x:c>
      <x:c r="H15" s="8" t="str">
        <x:v>Disetujui</x:v>
      </x:c>
    </x:row>
    <x:row r="17" ht="32" customHeight="1">
      <x:c r="A17" s="15" t="str">
        <x:v>Tombol / tindakan</x:v>
      </x:c>
      <x:c r="B17" s="14" t="str">
        <x:v>Ambil batch HR; review; setujui; siapkan pembayaran</x:v>
      </x:c>
      <x:c r="C17" s="14"/>
      <x:c r="D17" s="14"/>
      <x:c r="E17" s="14"/>
      <x:c r="F17" s="14"/>
      <x:c r="G17" s="14"/>
      <x:c r="H17" s="14"/>
    </x:row>
    <x:row r="18" ht="32" customHeight="1">
      <x:c r="A18" s="15" t="str">
        <x:v>Status dokumen</x:v>
      </x:c>
      <x:c r="B18" s="14" t="str">
        <x:v>Diterima; direview; disetujui; sebagian dibayar; selesai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Saat baris dibuka</x:v>
      </x:c>
      <x:c r="B19" s="14" t="str">
        <x:v>Rincian pegawai sesuai hak akses, komponen, potongan, pajak, jurnal kewajiban dan pembayaran.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Alur</x:v>
      </x:c>
      <x:c r="B20" s="14" t="str">
        <x:v>HR disetujui → review finance → kewajiban → Kas &amp; Bank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Tampilan kosong</x:v>
      </x:c>
      <x:c r="B21" s="14" t="str">
        <x:v>Tampilkan “Belum ada data sesuai filter”, pilihan hapus filter, dan aksi membuat/mengambil data hanya bila pengguna berwenang.</x:v>
      </x:c>
      <x:c r="C21" s="14"/>
      <x:c r="D21" s="14"/>
      <x:c r="E21" s="14"/>
      <x:c r="F21" s="14"/>
      <x:c r="G21" s="14"/>
      <x:c r="H21" s="14"/>
    </x:row>
    <x:row r="24" ht="27" customHeight="1">
      <x:c r="A24" s="17" t="str">
        <x:v>2. Kewajiban &amp; pembayaran</x:v>
      </x:c>
      <x:c r="B24" s="17" t="str">
        <x:v>2. Kewajiban &amp; pembayaran</x:v>
      </x:c>
      <x:c r="C24" s="17" t="str">
        <x:v>2. Kewajiban &amp; pembayaran</x:v>
      </x:c>
      <x:c r="D24" s="17" t="str">
        <x:v>2. Kewajiban &amp; pembayaran</x:v>
      </x:c>
      <x:c r="E24" s="17" t="str">
        <x:v>2. Kewajiban &amp; pembayaran</x:v>
      </x:c>
      <x:c r="F24" s="17" t="str">
        <x:v>2. Kewajiban &amp; pembayaran</x:v>
      </x:c>
      <x:c r="G24" s="17" t="str">
        <x:v>2. Kewajiban &amp; pembayaran</x:v>
      </x:c>
      <x:c r="H24" s="17" t="str">
        <x:v>2. Kewajiban &amp; pembayaran</x:v>
      </x:c>
    </x:row>
    <x:row r="25" ht="32" customHeight="1">
      <x:c r="A25" s="15" t="str">
        <x:v>Tujuan tab</x:v>
      </x:c>
      <x:c r="B25" s="14" t="str">
        <x:v>Saldo gaji dan komponen yang belum selesai dibayar.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Filter</x:v>
      </x:c>
      <x:c r="B26" s="14" t="str">
        <x:v>Batch; unit; penerima; status</x:v>
      </x:c>
      <x:c r="C26" s="14"/>
      <x:c r="D26" s="14"/>
      <x:c r="E26" s="14"/>
      <x:c r="F26" s="14"/>
      <x:c r="G26" s="14"/>
      <x:c r="H26" s="14"/>
    </x:row>
    <x:row r="27" ht="36" customHeight="1">
      <x:c r="A27" s="10" t="str">
        <x:v>Kewajiban</x:v>
      </x:c>
      <x:c r="B27" s="10" t="str">
        <x:v>Batch</x:v>
      </x:c>
      <x:c r="C27" s="10" t="str">
        <x:v>Unit</x:v>
      </x:c>
      <x:c r="D27" s="10" t="str">
        <x:v>Penerima</x:v>
      </x:c>
      <x:c r="E27" s="10" t="str">
        <x:v>Nilai Rp</x:v>
      </x:c>
      <x:c r="F27" s="10" t="str">
        <x:v>Dibayar Rp</x:v>
      </x:c>
      <x:c r="G27" s="10" t="str">
        <x:v>Sisa Rp</x:v>
      </x:c>
      <x:c r="H27" s="10" t="str">
        <x:v>Status</x:v>
      </x:c>
    </x:row>
    <x:row r="28" ht="48" customHeight="1">
      <x:c r="A28" s="8" t="str">
        <x:v>PRP-001</x:v>
      </x:c>
      <x:c r="B28" s="8" t="str">
        <x:v>PR-001</x:v>
      </x:c>
      <x:c r="C28" s="8" t="str">
        <x:v>C006</x:v>
      </x:c>
      <x:c r="D28" s="8" t="str">
        <x:v>Pegawai A</x:v>
      </x:c>
      <x:c r="E28" s="18" t="n">
        <x:v>4500000</x:v>
      </x:c>
      <x:c r="F28" s="18" t="n">
        <x:v>0</x:v>
      </x:c>
      <x:c r="G28" s="18" t="n">
        <x:f>E28-F28</x:f>
        <x:v>4500000</x:v>
      </x:c>
      <x:c r="H28" s="8" t="str">
        <x:v>Belum dibayar</x:v>
      </x:c>
    </x:row>
    <x:row r="30" ht="32" customHeight="1">
      <x:c r="A30" s="15" t="str">
        <x:v>Tombol / tindakan</x:v>
      </x:c>
      <x:c r="B30" s="14" t="str">
        <x:v>Bayar batch; buka pembayaran; tinjau gagal transfer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Status dokumen</x:v>
      </x:c>
      <x:c r="B31" s="14" t="str">
        <x:v>Belum dibayar; diproses; sebagian; lunas; gagal transfer</x:v>
      </x:c>
      <x:c r="C31" s="14"/>
      <x:c r="D31" s="14"/>
      <x:c r="E31" s="14"/>
      <x:c r="F31" s="14"/>
      <x:c r="G31" s="14"/>
      <x:c r="H31" s="14"/>
    </x:row>
    <x:row r="32" ht="32" customHeight="1">
      <x:c r="A32" s="15" t="str">
        <x:v>Saat baris dibuka</x:v>
      </x:c>
      <x:c r="B32" s="14" t="str">
        <x:v>Rincian komponen, alokasi pembayaran, bukti bank. Kewajiban pajak tertaut ke Pajak tanpa pembayaran duplikat.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Alur</x:v>
      </x:c>
      <x:c r="B33" s="14" t="str">
        <x:v>Kewajiban payroll → pembayaran → alokasi per penerima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Tampilan kosong</x:v>
      </x:c>
      <x:c r="B34" s="14" t="str">
        <x:v>Tampilkan “Belum ada data sesuai filter”, pilihan hapus filter, dan aksi membuat/mengambil data hanya bila pengguna berwenang.</x:v>
      </x:c>
      <x:c r="C34" s="14"/>
      <x:c r="D34" s="14"/>
      <x:c r="E34" s="14"/>
      <x:c r="F34" s="14"/>
      <x:c r="G34" s="14"/>
      <x:c r="H34" s="14"/>
    </x:row>
    <x:row r="37" ht="27" customHeight="1">
      <x:c r="A37" s="17" t="str">
        <x:v>3. Pinjaman pegawai</x:v>
      </x:c>
      <x:c r="B37" s="17" t="str">
        <x:v>3. Pinjaman pegawai</x:v>
      </x:c>
      <x:c r="C37" s="17" t="str">
        <x:v>3. Pinjaman pegawai</x:v>
      </x:c>
      <x:c r="D37" s="17" t="str">
        <x:v>3. Pinjaman pegawai</x:v>
      </x:c>
      <x:c r="E37" s="17" t="str">
        <x:v>3. Pinjaman pegawai</x:v>
      </x:c>
      <x:c r="F37" s="17" t="str">
        <x:v>3. Pinjaman pegawai</x:v>
      </x:c>
      <x:c r="G37" s="17" t="str">
        <x:v>3. Pinjaman pegawai</x:v>
      </x:c>
      <x:c r="H37" s="17" t="str">
        <x:v>3. Pinjaman pegawai</x:v>
      </x:c>
    </x:row>
    <x:row r="38" ht="32" customHeight="1">
      <x:c r="A38" s="15" t="str">
        <x:v>Tujuan tab</x:v>
      </x:c>
      <x:c r="B38" s="14" t="str">
        <x:v>Piutang pinjaman dan pemulihan melalui potongan/penerimaan.</x:v>
      </x:c>
      <x:c r="C38" s="14"/>
      <x:c r="D38" s="14"/>
      <x:c r="E38" s="14"/>
      <x:c r="F38" s="14"/>
      <x:c r="G38" s="14"/>
      <x:c r="H38" s="14"/>
    </x:row>
    <x:row r="39" ht="32" customHeight="1">
      <x:c r="A39" s="15" t="str">
        <x:v>Filter</x:v>
      </x:c>
      <x:c r="B39" s="14" t="str">
        <x:v>Pegawai; unit; status; umur</x:v>
      </x:c>
      <x:c r="C39" s="14"/>
      <x:c r="D39" s="14"/>
      <x:c r="E39" s="14"/>
      <x:c r="F39" s="14"/>
      <x:c r="G39" s="14"/>
      <x:c r="H39" s="14"/>
    </x:row>
    <x:row r="40" ht="36" customHeight="1">
      <x:c r="A40" s="10" t="str">
        <x:v>Pinjaman</x:v>
      </x:c>
      <x:c r="B40" s="10" t="str">
        <x:v>Pegawai</x:v>
      </x:c>
      <x:c r="C40" s="10" t="str">
        <x:v>Unit</x:v>
      </x:c>
      <x:c r="D40" s="10" t="str">
        <x:v>Pokok Rp</x:v>
      </x:c>
      <x:c r="E40" s="10" t="str">
        <x:v>Dilunasi Rp</x:v>
      </x:c>
      <x:c r="F40" s="10" t="str">
        <x:v>Sisa Rp</x:v>
      </x:c>
      <x:c r="G40" s="10" t="str">
        <x:v>Cara pelunasan</x:v>
      </x:c>
      <x:c r="H40" s="10" t="str">
        <x:v>Status</x:v>
      </x:c>
    </x:row>
    <x:row r="41" ht="48" customHeight="1">
      <x:c r="A41" s="8" t="str">
        <x:v>EMP-001</x:v>
      </x:c>
      <x:c r="B41" s="8" t="str">
        <x:v>Pegawai A</x:v>
      </x:c>
      <x:c r="C41" s="8" t="str">
        <x:v>C006</x:v>
      </x:c>
      <x:c r="D41" s="18" t="n">
        <x:v>2000000</x:v>
      </x:c>
      <x:c r="E41" s="18" t="n">
        <x:v>500000</x:v>
      </x:c>
      <x:c r="F41" s="18" t="n">
        <x:f>D41-E41</x:f>
        <x:v>1500000</x:v>
      </x:c>
      <x:c r="G41" s="8" t="str">
        <x:v>Potongan payroll</x:v>
      </x:c>
      <x:c r="H41" s="8" t="str">
        <x:v>Berjalan</x:v>
      </x:c>
    </x:row>
    <x:row r="43" ht="32" customHeight="1">
      <x:c r="A43" s="15" t="str">
        <x:v>Tombol / tindakan</x:v>
      </x:c>
      <x:c r="B43" s="14" t="str">
        <x:v>Ajukan pencairan; jadwalkan potongan; buka alokasi pelunasan</x:v>
      </x:c>
      <x:c r="C43" s="14"/>
      <x:c r="D43" s="14"/>
      <x:c r="E43" s="14"/>
      <x:c r="F43" s="14"/>
      <x:c r="G43" s="14"/>
      <x:c r="H43" s="14"/>
    </x:row>
    <x:row r="44" ht="32" customHeight="1">
      <x:c r="A44" s="15" t="str">
        <x:v>Status dokumen</x:v>
      </x:c>
      <x:c r="B44" s="14" t="str">
        <x:v>Diajukan; dicairkan; berjalan; lunas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Saat baris dibuka</x:v>
      </x:c>
      <x:c r="B45" s="14" t="str">
        <x:v>Persetujuan, pembayaran awal, jadwal, potongan batch PR-001 atau penerimaan kas, dan jurnal piutang.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Alur</x:v>
      </x:c>
      <x:c r="B46" s="14" t="str">
        <x:v>Pencairan → piutang pegawai → potongan/penerimaan → saldo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Tampilan kosong</x:v>
      </x:c>
      <x:c r="B47" s="14" t="str">
        <x:v>Tampilkan “Belum ada data sesuai filter”, pilihan hapus filter, dan aksi membuat/mengambil data hanya bila pengguna berwenang.</x:v>
      </x:c>
      <x:c r="C47" s="14"/>
      <x:c r="D47" s="14"/>
      <x:c r="E47" s="14"/>
      <x:c r="F47" s="14"/>
      <x:c r="G47" s="14"/>
      <x:c r="H47" s="14"/>
    </x:row>
    <x:row r="50" ht="27" customHeight="1">
      <x:c r="A50" s="17" t="str">
        <x:v>4. Rekonsiliasi payroll</x:v>
      </x:c>
      <x:c r="B50" s="17" t="str">
        <x:v>4. Rekonsiliasi payroll</x:v>
      </x:c>
      <x:c r="C50" s="17" t="str">
        <x:v>4. Rekonsiliasi payroll</x:v>
      </x:c>
      <x:c r="D50" s="17" t="str">
        <x:v>4. Rekonsiliasi payroll</x:v>
      </x:c>
      <x:c r="E50" s="17" t="str">
        <x:v>4. Rekonsiliasi payroll</x:v>
      </x:c>
      <x:c r="F50" s="17" t="str">
        <x:v>4. Rekonsiliasi payroll</x:v>
      </x:c>
      <x:c r="G50" s="17" t="str">
        <x:v>4. Rekonsiliasi payroll</x:v>
      </x:c>
      <x:c r="H50" s="17" t="str">
        <x:v>4. Rekonsiliasi payroll</x:v>
      </x:c>
    </x:row>
    <x:row r="51" ht="32" customHeight="1">
      <x:c r="A51" s="15" t="str">
        <x:v>Tujuan tab</x:v>
      </x:c>
      <x:c r="B51" s="14" t="str">
        <x:v>Bandingkan batch, jurnal dan pembayaran.</x:v>
      </x:c>
      <x:c r="C51" s="14"/>
      <x:c r="D51" s="14"/>
      <x:c r="E51" s="14"/>
      <x:c r="F51" s="14"/>
      <x:c r="G51" s="14"/>
      <x:c r="H51" s="14"/>
    </x:row>
    <x:row r="52" ht="32" customHeight="1">
      <x:c r="A52" s="15" t="str">
        <x:v>Filter</x:v>
      </x:c>
      <x:c r="B52" s="14" t="str">
        <x:v>Periode; unit; batch; status</x:v>
      </x:c>
      <x:c r="C52" s="14"/>
      <x:c r="D52" s="14"/>
      <x:c r="E52" s="14"/>
      <x:c r="F52" s="14"/>
      <x:c r="G52" s="14"/>
      <x:c r="H52" s="14"/>
    </x:row>
    <x:row r="53" ht="36" customHeight="1">
      <x:c r="A53" s="10" t="str">
        <x:v>Batch</x:v>
      </x:c>
      <x:c r="B53" s="10" t="str">
        <x:v>Unit</x:v>
      </x:c>
      <x:c r="C53" s="10" t="str">
        <x:v>Neto Rp</x:v>
      </x:c>
      <x:c r="D53" s="10" t="str">
        <x:v>Kewajiban tercatat Rp</x:v>
      </x:c>
      <x:c r="E53" s="10" t="str">
        <x:v>Dibayar Rp</x:v>
      </x:c>
      <x:c r="F53" s="10" t="str">
        <x:v>Belum dibayar Rp</x:v>
      </x:c>
      <x:c r="G53" s="10" t="str">
        <x:v>Status</x:v>
      </x:c>
      <x:c r="H53" s="10" t="str">
        <x:v>Aksi</x:v>
      </x:c>
    </x:row>
    <x:row r="54" ht="48" customHeight="1">
      <x:c r="A54" s="8" t="str">
        <x:v>PR-001</x:v>
      </x:c>
      <x:c r="B54" s="8" t="str">
        <x:v>C006</x:v>
      </x:c>
      <x:c r="C54" s="18" t="n">
        <x:v>4500000</x:v>
      </x:c>
      <x:c r="D54" s="18" t="n">
        <x:v>4500000</x:v>
      </x:c>
      <x:c r="E54" s="18" t="n">
        <x:v>0</x:v>
      </x:c>
      <x:c r="F54" s="18" t="n">
        <x:f>D54-E54</x:f>
        <x:v>4500000</x:v>
      </x:c>
      <x:c r="G54" s="8" t="str">
        <x:v>Pembayaran tertunda</x:v>
      </x:c>
      <x:c r="H54" s="8" t="str">
        <x:v>Buka rincian</x:v>
      </x:c>
    </x:row>
    <x:row r="56" ht="32" customHeight="1">
      <x:c r="A56" s="15" t="str">
        <x:v>Tombol / tindakan</x:v>
      </x:c>
      <x:c r="B56" s="14" t="str">
        <x:v>Bandingkan; periksa selisih; buka sumber</x:v>
      </x:c>
      <x:c r="C56" s="14"/>
      <x:c r="D56" s="14"/>
      <x:c r="E56" s="14"/>
      <x:c r="F56" s="14"/>
      <x:c r="G56" s="14"/>
      <x:c r="H56" s="14"/>
    </x:row>
    <x:row r="57" ht="32" customHeight="1">
      <x:c r="A57" s="15" t="str">
        <x:v>Status dokumen</x:v>
      </x:c>
      <x:c r="B57" s="14" t="str">
        <x:v>Cocok; pembayaran tertunda; selisih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Saat baris dibuka</x:v>
      </x:c>
      <x:c r="B58" s="14" t="str">
        <x:v>Jumlah batch, kewajiban, transfer gagal, potongan pinjaman dan pajak terkait.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Alur</x:v>
      </x:c>
      <x:c r="B59" s="14" t="str">
        <x:v>Payroll ↔ jurnal ↔ pembayaran → penutupan periode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Tampilan kosong</x:v>
      </x:c>
      <x:c r="B60" s="14" t="str">
        <x:v>Tampilkan “Belum ada data sesuai filter”, pilihan hapus filter, dan aksi membuat/mengambil data hanya bila pengguna berwenang.</x:v>
      </x:c>
      <x:c r="C60" s="14"/>
      <x:c r="D60" s="14"/>
      <x:c r="E60" s="14"/>
      <x:c r="F60" s="14"/>
      <x:c r="G60" s="14"/>
      <x:c r="H60" s="14"/>
    </x:row>
    <x:row r="63" ht="28" customHeight="1">
      <x:c r="A63" s="27" t="str">
        <x:v>Detail sidebar, tombol, form dan tabel anak</x:v>
      </x:c>
      <x:c r="B63" s="27" t="str">
        <x:v>Detail sidebar, tombol, form dan tabel anak</x:v>
      </x:c>
      <x:c r="C63" s="27" t="str">
        <x:v>Detail sidebar, tombol, form dan tabel anak</x:v>
      </x:c>
      <x:c r="D63" s="27" t="str">
        <x:v>Detail sidebar, tombol, form dan tabel anak</x:v>
      </x:c>
      <x:c r="E63" s="27" t="str">
        <x:v>Detail sidebar, tombol, form dan tabel anak</x:v>
      </x:c>
      <x:c r="F63" s="27" t="str">
        <x:v>Detail sidebar, tombol, form dan tabel anak</x:v>
      </x:c>
      <x:c r="G63" s="27" t="str">
        <x:v>Detail sidebar, tombol, form dan tabel anak</x:v>
      </x:c>
      <x:c r="H63" s="27" t="str">
        <x:v>Detail sidebar, tombol, form dan tabel anak</x:v>
      </x:c>
    </x:row>
    <x:row r="64" ht="38" customHeight="1">
      <x:c r="A64" s="25" t="str">
        <x:v>Tab</x:v>
      </x:c>
      <x:c r="B64" s="25" t="str">
        <x:v>Sidebar detail</x:v>
      </x:c>
      <x:c r="C64" s="25" t="str">
        <x:v>Tombol</x:v>
      </x:c>
      <x:c r="D64" s="25" t="str">
        <x:v>Form</x:v>
      </x:c>
      <x:c r="E64" s="25" t="str">
        <x:v>Tabel anak</x:v>
      </x:c>
      <x:c r="F64" s="25" t="str">
        <x:v>Bentuk layar</x:v>
      </x:c>
    </x:row>
    <x:row r="65" ht="86" customHeight="1">
      <x:c r="A65" s="8" t="str">
        <x:v>Batch payroll</x:v>
      </x:c>
      <x:c r="B65" s="8" t="str">
        <x:v>Sheet 16: Batch payroll</x:v>
      </x:c>
      <x:c r="C65" s="8" t="str">
        <x:v>Sheet 17: Batch payroll</x:v>
      </x:c>
      <x:c r="D65" s="8" t="str">
        <x:v>F23, F02; sheet 18–19</x:v>
      </x:c>
      <x:c r="E65" s="8" t="str">
        <x:v>S16; S17; S20; sheet 20–21</x:v>
      </x:c>
      <x:c r="F65" s="8" t="str">
        <x:v>Sidebar detail; form sebagai mode terpisah</x:v>
      </x:c>
    </x:row>
    <x:row r="66" ht="86" customHeight="1">
      <x:c r="A66" s="8" t="str">
        <x:v>Kewajiban &amp; pembayaran</x:v>
      </x:c>
      <x:c r="B66" s="8" t="str">
        <x:v>Sheet 16: Kewajiban &amp; pembayaran</x:v>
      </x:c>
      <x:c r="C66" s="8" t="str">
        <x:v>Sheet 17: Kewajiban &amp; pembayaran</x:v>
      </x:c>
      <x:c r="D66" s="8" t="str">
        <x:v>F02; sheet 18–19</x:v>
      </x:c>
      <x:c r="E66" s="8" t="str">
        <x:v>S17; S03; S20; sheet 20–21</x:v>
      </x:c>
      <x:c r="F66" s="8" t="str">
        <x:v>Sidebar detail; form sebagai mode terpisah</x:v>
      </x:c>
    </x:row>
    <x:row r="67" ht="86" customHeight="1">
      <x:c r="A67" s="8" t="str">
        <x:v>Pinjaman pegawai</x:v>
      </x:c>
      <x:c r="B67" s="8" t="str">
        <x:v>Sheet 16: Pinjaman pegawai</x:v>
      </x:c>
      <x:c r="C67" s="8" t="str">
        <x:v>Sheet 17: Pinjaman pegawai</x:v>
      </x:c>
      <x:c r="D67" s="8" t="str">
        <x:v>F24, F02, F03, F01; sheet 18–19</x:v>
      </x:c>
      <x:c r="E67" s="8" t="str">
        <x:v>S17; S03; S20; sheet 20–21</x:v>
      </x:c>
      <x:c r="F67" s="8" t="str">
        <x:v>Sidebar detail; form sebagai mode terpisah</x:v>
      </x:c>
    </x:row>
    <x:row r="68" ht="86" customHeight="1">
      <x:c r="A68" s="8" t="str">
        <x:v>Rekonsiliasi payroll</x:v>
      </x:c>
      <x:c r="B68" s="8" t="str">
        <x:v>Sheet 16: Rekonsiliasi payroll</x:v>
      </x:c>
      <x:c r="C68" s="8" t="str">
        <x:v>Sheet 17: Rekonsiliasi payroll</x:v>
      </x:c>
      <x:c r="D68" s="8" t="str">
        <x:v>F19; sheet 18–19</x:v>
      </x:c>
      <x:c r="E68" s="8" t="str">
        <x:v>S13; S16; S17; sheet 20–21</x:v>
      </x:c>
      <x:c r="F68" s="8" t="str">
        <x:v>Sidebar detail; form sebagai mode terpisah</x:v>
      </x:c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7:H17"/>
    <x:mergeCell ref="B18:H18"/>
    <x:mergeCell ref="B19:H19"/>
    <x:mergeCell ref="B20:H20"/>
    <x:mergeCell ref="B21:H21"/>
    <x:mergeCell ref="A24:H24"/>
    <x:mergeCell ref="B25:H25"/>
    <x:mergeCell ref="B26:H26"/>
    <x:mergeCell ref="B30:H30"/>
    <x:mergeCell ref="B31:H31"/>
    <x:mergeCell ref="B32:H32"/>
    <x:mergeCell ref="B33:H33"/>
    <x:mergeCell ref="B34:H34"/>
    <x:mergeCell ref="A37:H37"/>
    <x:mergeCell ref="B38:H38"/>
    <x:mergeCell ref="B39:H39"/>
    <x:mergeCell ref="B43:H43"/>
    <x:mergeCell ref="B44:H44"/>
    <x:mergeCell ref="B45:H45"/>
    <x:mergeCell ref="B46:H46"/>
    <x:mergeCell ref="B47:H47"/>
    <x:mergeCell ref="A50:H50"/>
    <x:mergeCell ref="B51:H51"/>
    <x:mergeCell ref="B52:H52"/>
    <x:mergeCell ref="B56:H56"/>
    <x:mergeCell ref="B57:H57"/>
    <x:mergeCell ref="B58:H58"/>
    <x:mergeCell ref="B59:H59"/>
    <x:mergeCell ref="B60:H60"/>
    <x:mergeCell ref="A63:H63"/>
  </x:mergeCells>
  <x:pageMargins left="0.7" right="0.7" top="0.75" bottom="0.75" header="0.3" footer="0.3"/>
  <x:tableParts count="5">
    <x:tablePart xmlns:r="http://schemas.openxmlformats.org/officeDocument/2006/relationships" r:id="Reee72820e828480a"/>
    <x:tablePart xmlns:r="http://schemas.openxmlformats.org/officeDocument/2006/relationships" r:id="R5e661e1d2b42424b"/>
    <x:tablePart xmlns:r="http://schemas.openxmlformats.org/officeDocument/2006/relationships" r:id="R6a1d405b5db9405f"/>
    <x:tablePart xmlns:r="http://schemas.openxmlformats.org/officeDocument/2006/relationships" r:id="R45e7f8fb9ca242a2"/>
    <x:tablePart xmlns:r="http://schemas.openxmlformats.org/officeDocument/2006/relationships" r:id="R9a2872291bd7412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Pajak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Mengontrol dokumen, kewajiban, pembayaran dan pelaporan pajak.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Tim pajak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Dokumen asal dari penjualan, tagihan dan payroll. Pembayaran memakai Kas &amp; Bank; status lapor terpisah dari status bayar.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Kewajiban belum dibayar; tenggat pembayaran; tenggat pelaporan; dokumen belum cocok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Pisahkan tanggal/status lapor dan bayar; klasifikasi PBB dan kode khusus harus dikonfirmasi.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Kewajiban — tab awal</x:v>
      </x:c>
      <x:c r="B11" s="17" t="str">
        <x:v>1. Kewajiban — tab awal</x:v>
      </x:c>
      <x:c r="C11" s="17" t="str">
        <x:v>1. Kewajiban — tab awal</x:v>
      </x:c>
      <x:c r="D11" s="17" t="str">
        <x:v>1. Kewajiban — tab awal</x:v>
      </x:c>
      <x:c r="E11" s="17" t="str">
        <x:v>1. Kewajiban — tab awal</x:v>
      </x:c>
      <x:c r="F11" s="17" t="str">
        <x:v>1. Kewajiban — tab awal</x:v>
      </x:c>
      <x:c r="G11" s="17" t="str">
        <x:v>1. Kewajiban — tab awal</x:v>
      </x:c>
      <x:c r="H11" s="17" t="str">
        <x:v>1. Kewajiban — tab awal</x:v>
      </x:c>
    </x:row>
    <x:row r="12" ht="32" customHeight="1">
      <x:c r="A12" s="15" t="str">
        <x:v>Tujuan tab</x:v>
      </x:c>
      <x:c r="B12" s="14" t="str">
        <x:v>Saldo kewajiban per jenis dan masa pajak.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Jenis; masa; unit; tenggat; status bayar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Kewajiban</x:v>
      </x:c>
      <x:c r="B14" s="10" t="str">
        <x:v>Jenis</x:v>
      </x:c>
      <x:c r="C14" s="10" t="str">
        <x:v>Masa</x:v>
      </x:c>
      <x:c r="D14" s="10" t="str">
        <x:v>Unit</x:v>
      </x:c>
      <x:c r="E14" s="10" t="str">
        <x:v>Terutang Rp</x:v>
      </x:c>
      <x:c r="F14" s="10" t="str">
        <x:v>Dibayar Rp</x:v>
      </x:c>
      <x:c r="G14" s="10" t="str">
        <x:v>Sisa Rp</x:v>
      </x:c>
      <x:c r="H14" s="10" t="str">
        <x:v>Status bayar</x:v>
      </x:c>
    </x:row>
    <x:row r="15" ht="48" customHeight="1">
      <x:c r="A15" s="8" t="str">
        <x:v>TAX-001</x:v>
      </x:c>
      <x:c r="B15" s="8" t="str">
        <x:v>Pajak potongan</x:v>
      </x:c>
      <x:c r="C15" s="8" t="str">
        <x:v>2026-09</x:v>
      </x:c>
      <x:c r="D15" s="8" t="str">
        <x:v>HO</x:v>
      </x:c>
      <x:c r="E15" s="18" t="n">
        <x:v>500000</x:v>
      </x:c>
      <x:c r="F15" s="18" t="n">
        <x:v>0</x:v>
      </x:c>
      <x:c r="G15" s="18" t="n">
        <x:f>E15-F15</x:f>
        <x:v>500000</x:v>
      </x:c>
      <x:c r="H15" s="8" t="str">
        <x:v>Belum dibayar</x:v>
      </x:c>
    </x:row>
    <x:row r="17" ht="32" customHeight="1">
      <x:c r="A17" s="15" t="str">
        <x:v>Tombol / tindakan</x:v>
      </x:c>
      <x:c r="B17" s="14" t="str">
        <x:v>Tinjau sumber; siapkan pembayaran; buka bukti</x:v>
      </x:c>
      <x:c r="C17" s="14"/>
      <x:c r="D17" s="14"/>
      <x:c r="E17" s="14"/>
      <x:c r="F17" s="14"/>
      <x:c r="G17" s="14"/>
      <x:c r="H17" s="14"/>
    </x:row>
    <x:row r="18" ht="32" customHeight="1">
      <x:c r="A18" s="15" t="str">
        <x:v>Status dokumen</x:v>
      </x:c>
      <x:c r="B18" s="14" t="str">
        <x:v>Belum dibayar; sebagian; dibayar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Saat baris dibuka</x:v>
      </x:c>
      <x:c r="B19" s="14" t="str">
        <x:v>Dokumen dasar, penyesuaian, pembayaran, referensi pelaporan. Tenggat mengikuti master kebijakan yang divalidasi tim pajak.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Alur</x:v>
      </x:c>
      <x:c r="B20" s="14" t="str">
        <x:v>Sumber bisnis → kewajiban pajak → pembayaran → laporan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Tampilan kosong</x:v>
      </x:c>
      <x:c r="B21" s="14" t="str">
        <x:v>Tampilkan “Belum ada data sesuai filter”, pilihan hapus filter, dan aksi membuat/mengambil data hanya bila pengguna berwenang.</x:v>
      </x:c>
      <x:c r="C21" s="14"/>
      <x:c r="D21" s="14"/>
      <x:c r="E21" s="14"/>
      <x:c r="F21" s="14"/>
      <x:c r="G21" s="14"/>
      <x:c r="H21" s="14"/>
    </x:row>
    <x:row r="24" ht="27" customHeight="1">
      <x:c r="A24" s="17" t="str">
        <x:v>2. Dokumen pajak</x:v>
      </x:c>
      <x:c r="B24" s="17" t="str">
        <x:v>2. Dokumen pajak</x:v>
      </x:c>
      <x:c r="C24" s="17" t="str">
        <x:v>2. Dokumen pajak</x:v>
      </x:c>
      <x:c r="D24" s="17" t="str">
        <x:v>2. Dokumen pajak</x:v>
      </x:c>
      <x:c r="E24" s="17" t="str">
        <x:v>2. Dokumen pajak</x:v>
      </x:c>
      <x:c r="F24" s="17" t="str">
        <x:v>2. Dokumen pajak</x:v>
      </x:c>
      <x:c r="G24" s="17" t="str">
        <x:v>2. Dokumen pajak</x:v>
      </x:c>
      <x:c r="H24" s="17" t="str">
        <x:v>2. Dokumen pajak</x:v>
      </x:c>
    </x:row>
    <x:row r="25" ht="32" customHeight="1">
      <x:c r="A25" s="15" t="str">
        <x:v>Tujuan tab</x:v>
      </x:c>
      <x:c r="B25" s="14" t="str">
        <x:v>Dokumen pajak masukan/keluaran/potongan dan sumbernya.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Filter</x:v>
      </x:c>
      <x:c r="B26" s="14" t="str">
        <x:v>Jenis; masa; pihak; unit; status validasi</x:v>
      </x:c>
      <x:c r="C26" s="14"/>
      <x:c r="D26" s="14"/>
      <x:c r="E26" s="14"/>
      <x:c r="F26" s="14"/>
      <x:c r="G26" s="14"/>
      <x:c r="H26" s="14"/>
    </x:row>
    <x:row r="27" ht="36" customHeight="1">
      <x:c r="A27" s="10" t="str">
        <x:v>Dokumen</x:v>
      </x:c>
      <x:c r="B27" s="10" t="str">
        <x:v>Jenis</x:v>
      </x:c>
      <x:c r="C27" s="10" t="str">
        <x:v>Nomor referensi</x:v>
      </x:c>
      <x:c r="D27" s="10" t="str">
        <x:v>Tanggal</x:v>
      </x:c>
      <x:c r="E27" s="10" t="str">
        <x:v>Pihak</x:v>
      </x:c>
      <x:c r="F27" s="10" t="str">
        <x:v>Nilai pajak Rp</x:v>
      </x:c>
      <x:c r="G27" s="10" t="str">
        <x:v>Sumber</x:v>
      </x:c>
      <x:c r="H27" s="10" t="str">
        <x:v>Status</x:v>
      </x:c>
    </x:row>
    <x:row r="28" ht="48" customHeight="1">
      <x:c r="A28" s="8" t="str">
        <x:v>TD-001</x:v>
      </x:c>
      <x:c r="B28" s="8" t="str">
        <x:v>Potongan</x:v>
      </x:c>
      <x:c r="C28" s="8" t="str">
        <x:v>ILUSTRASI-001</x:v>
      </x:c>
      <x:c r="D28" s="19" t="n">
        <x:v>46275</x:v>
      </x:c>
      <x:c r="E28" s="8" t="str">
        <x:v>Vendor B</x:v>
      </x:c>
      <x:c r="F28" s="18" t="n">
        <x:v>500000</x:v>
      </x:c>
      <x:c r="G28" s="8" t="str">
        <x:v>BILL-002</x:v>
      </x:c>
      <x:c r="H28" s="8" t="str">
        <x:v>Perlu cocokkan</x:v>
      </x:c>
    </x:row>
    <x:row r="30" ht="32" customHeight="1">
      <x:c r="A30" s="15" t="str">
        <x:v>Tombol / tindakan</x:v>
      </x:c>
      <x:c r="B30" s="14" t="str">
        <x:v>Tautkan dokumen; cocokkan; koreksi sumber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Status dokumen</x:v>
      </x:c>
      <x:c r="B31" s="14" t="str">
        <x:v>Diterima; perlu cocokkan; cocok; dikoreksi</x:v>
      </x:c>
      <x:c r="C31" s="14"/>
      <x:c r="D31" s="14"/>
      <x:c r="E31" s="14"/>
      <x:c r="F31" s="14"/>
      <x:c r="G31" s="14"/>
      <x:c r="H31" s="14"/>
    </x:row>
    <x:row r="32" ht="40" customHeight="1">
      <x:c r="A32" s="15" t="str">
        <x:v>Saat baris dibuka</x:v>
      </x:c>
      <x:c r="B32" s="14" t="str">
        <x:v>Identitas dokumen, dasar nilai, sumber asli, lampiran, validasi dan riwayat. Nilai hanya ilustrasi, tidak menghitung tarif legal.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Alur</x:v>
      </x:c>
      <x:c r="B33" s="14" t="str">
        <x:v>Tagihan/penjualan/payroll → dokumen pajak → kewajiban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Tampilan kosong</x:v>
      </x:c>
      <x:c r="B34" s="14" t="str">
        <x:v>Tampilkan “Belum ada data sesuai filter”, pilihan hapus filter, dan aksi membuat/mengambil data hanya bila pengguna berwenang.</x:v>
      </x:c>
      <x:c r="C34" s="14"/>
      <x:c r="D34" s="14"/>
      <x:c r="E34" s="14"/>
      <x:c r="F34" s="14"/>
      <x:c r="G34" s="14"/>
      <x:c r="H34" s="14"/>
    </x:row>
    <x:row r="37" ht="27" customHeight="1">
      <x:c r="A37" s="17" t="str">
        <x:v>3. Pembayaran</x:v>
      </x:c>
      <x:c r="B37" s="17" t="str">
        <x:v>3. Pembayaran</x:v>
      </x:c>
      <x:c r="C37" s="17" t="str">
        <x:v>3. Pembayaran</x:v>
      </x:c>
      <x:c r="D37" s="17" t="str">
        <x:v>3. Pembayaran</x:v>
      </x:c>
      <x:c r="E37" s="17" t="str">
        <x:v>3. Pembayaran</x:v>
      </x:c>
      <x:c r="F37" s="17" t="str">
        <x:v>3. Pembayaran</x:v>
      </x:c>
      <x:c r="G37" s="17" t="str">
        <x:v>3. Pembayaran</x:v>
      </x:c>
      <x:c r="H37" s="17" t="str">
        <x:v>3. Pembayaran</x:v>
      </x:c>
    </x:row>
    <x:row r="38" ht="32" customHeight="1">
      <x:c r="A38" s="15" t="str">
        <x:v>Tujuan tab</x:v>
      </x:c>
      <x:c r="B38" s="14" t="str">
        <x:v>Alokasi pembayaran untuk kewajiban pajak.</x:v>
      </x:c>
      <x:c r="C38" s="14"/>
      <x:c r="D38" s="14"/>
      <x:c r="E38" s="14"/>
      <x:c r="F38" s="14"/>
      <x:c r="G38" s="14"/>
      <x:c r="H38" s="14"/>
    </x:row>
    <x:row r="39" ht="32" customHeight="1">
      <x:c r="A39" s="15" t="str">
        <x:v>Filter</x:v>
      </x:c>
      <x:c r="B39" s="14" t="str">
        <x:v>Jenis; masa; rekening; status</x:v>
      </x:c>
      <x:c r="C39" s="14"/>
      <x:c r="D39" s="14"/>
      <x:c r="E39" s="14"/>
      <x:c r="F39" s="14"/>
      <x:c r="G39" s="14"/>
      <x:c r="H39" s="14"/>
    </x:row>
    <x:row r="40" ht="36" customHeight="1">
      <x:c r="A40" s="10" t="str">
        <x:v>Pembayaran</x:v>
      </x:c>
      <x:c r="B40" s="10" t="str">
        <x:v>Kewajiban</x:v>
      </x:c>
      <x:c r="C40" s="10" t="str">
        <x:v>Jenis</x:v>
      </x:c>
      <x:c r="D40" s="10" t="str">
        <x:v>Masa</x:v>
      </x:c>
      <x:c r="E40" s="10" t="str">
        <x:v>Nilai Rp</x:v>
      </x:c>
      <x:c r="F40" s="10" t="str">
        <x:v>Tanggal bayar</x:v>
      </x:c>
      <x:c r="G40" s="10" t="str">
        <x:v>Bukti bayar</x:v>
      </x:c>
      <x:c r="H40" s="10" t="str">
        <x:v>Status</x:v>
      </x:c>
    </x:row>
    <x:row r="41" ht="48" customHeight="1">
      <x:c r="A41" s="8" t="str">
        <x:v>PAY-TAX-001</x:v>
      </x:c>
      <x:c r="B41" s="8" t="str">
        <x:v>TAX-001</x:v>
      </x:c>
      <x:c r="C41" s="8" t="str">
        <x:v>Pajak potongan</x:v>
      </x:c>
      <x:c r="D41" s="8" t="str">
        <x:v>2026-09</x:v>
      </x:c>
      <x:c r="E41" s="18" t="n">
        <x:v>500000</x:v>
      </x:c>
      <x:c r="F41" s="8"/>
      <x:c r="G41" s="8"/>
      <x:c r="H41" s="8" t="str">
        <x:v>Disiapkan</x:v>
      </x:c>
    </x:row>
    <x:row r="43" ht="32" customHeight="1">
      <x:c r="A43" s="15" t="str">
        <x:v>Tombol / tindakan</x:v>
      </x:c>
      <x:c r="B43" s="14" t="str">
        <x:v>Bayar kewajiban; tautkan bukti; buka Kas &amp; Bank</x:v>
      </x:c>
      <x:c r="C43" s="14"/>
      <x:c r="D43" s="14"/>
      <x:c r="E43" s="14"/>
      <x:c r="F43" s="14"/>
      <x:c r="G43" s="14"/>
      <x:c r="H43" s="14"/>
    </x:row>
    <x:row r="44" ht="32" customHeight="1">
      <x:c r="A44" s="15" t="str">
        <x:v>Status dokumen</x:v>
      </x:c>
      <x:c r="B44" s="14" t="str">
        <x:v>Disiapkan; diproses; dibayar; gagal; dibalik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Saat baris dibuka</x:v>
      </x:c>
      <x:c r="B45" s="14" t="str">
        <x:v>Payment yang sama di Kas &amp; Bank, kode billing/referensi bila relevan, bukti dan alokasi.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Alur</x:v>
      </x:c>
      <x:c r="B46" s="14" t="str">
        <x:v>Kewajiban → pembayaran bersama → bukti bayar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Tampilan kosong</x:v>
      </x:c>
      <x:c r="B47" s="14" t="str">
        <x:v>Tampilkan “Belum ada data sesuai filter”, pilihan hapus filter, dan aksi membuat/mengambil data hanya bila pengguna berwenang.</x:v>
      </x:c>
      <x:c r="C47" s="14"/>
      <x:c r="D47" s="14"/>
      <x:c r="E47" s="14"/>
      <x:c r="F47" s="14"/>
      <x:c r="G47" s="14"/>
      <x:c r="H47" s="14"/>
    </x:row>
    <x:row r="50" ht="27" customHeight="1">
      <x:c r="A50" s="17" t="str">
        <x:v>4. Pelaporan</x:v>
      </x:c>
      <x:c r="B50" s="17" t="str">
        <x:v>4. Pelaporan</x:v>
      </x:c>
      <x:c r="C50" s="17" t="str">
        <x:v>4. Pelaporan</x:v>
      </x:c>
      <x:c r="D50" s="17" t="str">
        <x:v>4. Pelaporan</x:v>
      </x:c>
      <x:c r="E50" s="17" t="str">
        <x:v>4. Pelaporan</x:v>
      </x:c>
      <x:c r="F50" s="17" t="str">
        <x:v>4. Pelaporan</x:v>
      </x:c>
      <x:c r="G50" s="17" t="str">
        <x:v>4. Pelaporan</x:v>
      </x:c>
      <x:c r="H50" s="17" t="str">
        <x:v>4. Pelaporan</x:v>
      </x:c>
    </x:row>
    <x:row r="51" ht="32" customHeight="1">
      <x:c r="A51" s="15" t="str">
        <x:v>Tujuan tab</x:v>
      </x:c>
      <x:c r="B51" s="14" t="str">
        <x:v>Penyampaian laporan pajak terpisah dari pelunasan.</x:v>
      </x:c>
      <x:c r="C51" s="14"/>
      <x:c r="D51" s="14"/>
      <x:c r="E51" s="14"/>
      <x:c r="F51" s="14"/>
      <x:c r="G51" s="14"/>
      <x:c r="H51" s="14"/>
    </x:row>
    <x:row r="52" ht="32" customHeight="1">
      <x:c r="A52" s="15" t="str">
        <x:v>Filter</x:v>
      </x:c>
      <x:c r="B52" s="14" t="str">
        <x:v>Jenis; masa; unit; status lapor</x:v>
      </x:c>
      <x:c r="C52" s="14"/>
      <x:c r="D52" s="14"/>
      <x:c r="E52" s="14"/>
      <x:c r="F52" s="14"/>
      <x:c r="G52" s="14"/>
      <x:c r="H52" s="14"/>
    </x:row>
    <x:row r="53" ht="36" customHeight="1">
      <x:c r="A53" s="10" t="str">
        <x:v>Pelaporan</x:v>
      </x:c>
      <x:c r="B53" s="10" t="str">
        <x:v>Jenis</x:v>
      </x:c>
      <x:c r="C53" s="10" t="str">
        <x:v>Masa</x:v>
      </x:c>
      <x:c r="D53" s="10" t="str">
        <x:v>Unit</x:v>
      </x:c>
      <x:c r="E53" s="10" t="str">
        <x:v>Tanggal lapor</x:v>
      </x:c>
      <x:c r="F53" s="10" t="str">
        <x:v>Referensi tanda terima</x:v>
      </x:c>
      <x:c r="G53" s="10" t="str">
        <x:v>Status lapor</x:v>
      </x:c>
      <x:c r="H53" s="10" t="str">
        <x:v>Aksi</x:v>
      </x:c>
    </x:row>
    <x:row r="54" ht="48" customHeight="1">
      <x:c r="A54" s="8" t="str">
        <x:v>TF-001</x:v>
      </x:c>
      <x:c r="B54" s="8" t="str">
        <x:v>Pajak potongan</x:v>
      </x:c>
      <x:c r="C54" s="8" t="str">
        <x:v>2026-09</x:v>
      </x:c>
      <x:c r="D54" s="8" t="str">
        <x:v>HO</x:v>
      </x:c>
      <x:c r="E54" s="8"/>
      <x:c r="F54" s="8"/>
      <x:c r="G54" s="8" t="str">
        <x:v>Disiapkan</x:v>
      </x:c>
      <x:c r="H54" s="8" t="str">
        <x:v>Buka pelaporan</x:v>
      </x:c>
    </x:row>
    <x:row r="56" ht="32" customHeight="1">
      <x:c r="A56" s="15" t="str">
        <x:v>Tombol / tindakan</x:v>
      </x:c>
      <x:c r="B56" s="14" t="str">
        <x:v>Siapkan; review; catat pelaporan; tautkan tanda terima</x:v>
      </x:c>
      <x:c r="C56" s="14"/>
      <x:c r="D56" s="14"/>
      <x:c r="E56" s="14"/>
      <x:c r="F56" s="14"/>
      <x:c r="G56" s="14"/>
      <x:c r="H56" s="14"/>
    </x:row>
    <x:row r="57" ht="32" customHeight="1">
      <x:c r="A57" s="15" t="str">
        <x:v>Status dokumen</x:v>
      </x:c>
      <x:c r="B57" s="14" t="str">
        <x:v>Disiapkan; direview; dilaporkan; pembetulan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Saat baris dibuka</x:v>
      </x:c>
      <x:c r="B58" s="14" t="str">
        <x:v>Dokumen pendukung, pembayaran terkait, tanda terima, versi pembetulan. Dilaporkan tidak berarti sudah dibayar.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Alur</x:v>
      </x:c>
      <x:c r="B59" s="14" t="str">
        <x:v>Dokumen/kewajiban → review laporan → penyampaian → tanda terima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Tampilan kosong</x:v>
      </x:c>
      <x:c r="B60" s="14" t="str">
        <x:v>Tampilkan “Belum ada data sesuai filter”, pilihan hapus filter, dan aksi membuat/mengambil data hanya bila pengguna berwenang.</x:v>
      </x:c>
      <x:c r="C60" s="14"/>
      <x:c r="D60" s="14"/>
      <x:c r="E60" s="14"/>
      <x:c r="F60" s="14"/>
      <x:c r="G60" s="14"/>
      <x:c r="H60" s="14"/>
    </x:row>
    <x:row r="63" ht="28" customHeight="1">
      <x:c r="A63" s="27" t="str">
        <x:v>Detail sidebar, tombol, form dan tabel anak</x:v>
      </x:c>
      <x:c r="B63" s="27" t="str">
        <x:v>Detail sidebar, tombol, form dan tabel anak</x:v>
      </x:c>
      <x:c r="C63" s="27" t="str">
        <x:v>Detail sidebar, tombol, form dan tabel anak</x:v>
      </x:c>
      <x:c r="D63" s="27" t="str">
        <x:v>Detail sidebar, tombol, form dan tabel anak</x:v>
      </x:c>
      <x:c r="E63" s="27" t="str">
        <x:v>Detail sidebar, tombol, form dan tabel anak</x:v>
      </x:c>
      <x:c r="F63" s="27" t="str">
        <x:v>Detail sidebar, tombol, form dan tabel anak</x:v>
      </x:c>
      <x:c r="G63" s="27" t="str">
        <x:v>Detail sidebar, tombol, form dan tabel anak</x:v>
      </x:c>
      <x:c r="H63" s="27" t="str">
        <x:v>Detail sidebar, tombol, form dan tabel anak</x:v>
      </x:c>
    </x:row>
    <x:row r="64" ht="38" customHeight="1">
      <x:c r="A64" s="25" t="str">
        <x:v>Tab</x:v>
      </x:c>
      <x:c r="B64" s="25" t="str">
        <x:v>Sidebar detail</x:v>
      </x:c>
      <x:c r="C64" s="25" t="str">
        <x:v>Tombol</x:v>
      </x:c>
      <x:c r="D64" s="25" t="str">
        <x:v>Form</x:v>
      </x:c>
      <x:c r="E64" s="25" t="str">
        <x:v>Tabel anak</x:v>
      </x:c>
      <x:c r="F64" s="25" t="str">
        <x:v>Bentuk layar</x:v>
      </x:c>
    </x:row>
    <x:row r="65" ht="86" customHeight="1">
      <x:c r="A65" s="8" t="str">
        <x:v>Kewajiban</x:v>
      </x:c>
      <x:c r="B65" s="8" t="str">
        <x:v>Sheet 16: Kewajiban</x:v>
      </x:c>
      <x:c r="C65" s="8" t="str">
        <x:v>Sheet 17: Kewajiban</x:v>
      </x:c>
      <x:c r="D65" s="8" t="str">
        <x:v>F25, F02, F01; sheet 18–19</x:v>
      </x:c>
      <x:c r="E65" s="8" t="str">
        <x:v>S07; S03; S20; sheet 20–21</x:v>
      </x:c>
      <x:c r="F65" s="8" t="str">
        <x:v>Sidebar detail; form sebagai mode terpisah</x:v>
      </x:c>
    </x:row>
    <x:row r="66" ht="86" customHeight="1">
      <x:c r="A66" s="8" t="str">
        <x:v>Dokumen pajak</x:v>
      </x:c>
      <x:c r="B66" s="8" t="str">
        <x:v>Sheet 16: Dokumen pajak</x:v>
      </x:c>
      <x:c r="C66" s="8" t="str">
        <x:v>Sheet 17: Dokumen pajak</x:v>
      </x:c>
      <x:c r="D66" s="8" t="str">
        <x:v>F25, F01; sheet 18–19</x:v>
      </x:c>
      <x:c r="E66" s="8" t="str">
        <x:v>S07; S01; sheet 20–21</x:v>
      </x:c>
      <x:c r="F66" s="8" t="str">
        <x:v>Sidebar detail; form sebagai mode terpisah</x:v>
      </x:c>
    </x:row>
    <x:row r="67" ht="86" customHeight="1">
      <x:c r="A67" s="8" t="str">
        <x:v>Pembayaran</x:v>
      </x:c>
      <x:c r="B67" s="8" t="str">
        <x:v>Sheet 16: Pembayaran</x:v>
      </x:c>
      <x:c r="C67" s="8" t="str">
        <x:v>Sheet 17: Pembayaran</x:v>
      </x:c>
      <x:c r="D67" s="8" t="str">
        <x:v>F02, F25; sheet 18–19</x:v>
      </x:c>
      <x:c r="E67" s="8" t="str">
        <x:v>S03; S07; S20; sheet 20–21</x:v>
      </x:c>
      <x:c r="F67" s="8" t="str">
        <x:v>Sidebar detail; form sebagai mode terpisah</x:v>
      </x:c>
    </x:row>
    <x:row r="68" ht="86" customHeight="1">
      <x:c r="A68" s="8" t="str">
        <x:v>Pelaporan</x:v>
      </x:c>
      <x:c r="B68" s="8" t="str">
        <x:v>Sheet 16: Pelaporan</x:v>
      </x:c>
      <x:c r="C68" s="8" t="str">
        <x:v>Sheet 17: Pelaporan</x:v>
      </x:c>
      <x:c r="D68" s="8" t="str">
        <x:v>F26, F01; sheet 18–19</x:v>
      </x:c>
      <x:c r="E68" s="8" t="str">
        <x:v>S07; S01; S02; sheet 20–21</x:v>
      </x:c>
      <x:c r="F68" s="8" t="str">
        <x:v>Sidebar detail; form sebagai mode terpisah</x:v>
      </x:c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7:H17"/>
    <x:mergeCell ref="B18:H18"/>
    <x:mergeCell ref="B19:H19"/>
    <x:mergeCell ref="B20:H20"/>
    <x:mergeCell ref="B21:H21"/>
    <x:mergeCell ref="A24:H24"/>
    <x:mergeCell ref="B25:H25"/>
    <x:mergeCell ref="B26:H26"/>
    <x:mergeCell ref="B30:H30"/>
    <x:mergeCell ref="B31:H31"/>
    <x:mergeCell ref="B32:H32"/>
    <x:mergeCell ref="B33:H33"/>
    <x:mergeCell ref="B34:H34"/>
    <x:mergeCell ref="A37:H37"/>
    <x:mergeCell ref="B38:H38"/>
    <x:mergeCell ref="B39:H39"/>
    <x:mergeCell ref="B43:H43"/>
    <x:mergeCell ref="B44:H44"/>
    <x:mergeCell ref="B45:H45"/>
    <x:mergeCell ref="B46:H46"/>
    <x:mergeCell ref="B47:H47"/>
    <x:mergeCell ref="A50:H50"/>
    <x:mergeCell ref="B51:H51"/>
    <x:mergeCell ref="B52:H52"/>
    <x:mergeCell ref="B56:H56"/>
    <x:mergeCell ref="B57:H57"/>
    <x:mergeCell ref="B58:H58"/>
    <x:mergeCell ref="B59:H59"/>
    <x:mergeCell ref="B60:H60"/>
    <x:mergeCell ref="A63:H63"/>
  </x:mergeCells>
  <x:pageMargins left="0.7" right="0.7" top="0.75" bottom="0.75" header="0.3" footer="0.3"/>
  <x:tableParts count="5">
    <x:tablePart xmlns:r="http://schemas.openxmlformats.org/officeDocument/2006/relationships" r:id="R5a04fb5174974f5d"/>
    <x:tablePart xmlns:r="http://schemas.openxmlformats.org/officeDocument/2006/relationships" r:id="Rda2b2fca68f94380"/>
    <x:tablePart xmlns:r="http://schemas.openxmlformats.org/officeDocument/2006/relationships" r:id="R8efb6e7198874b6d"/>
    <x:tablePart xmlns:r="http://schemas.openxmlformats.org/officeDocument/2006/relationships" r:id="R3c499a70d5f84305"/>
    <x:tablePart xmlns:r="http://schemas.openxmlformats.org/officeDocument/2006/relationships" r:id="Re219cae92029443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Pendanaan &amp; Modal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Mengelola pinjaman eksternal dan transaksi pemilik, dengan register yang terpisah.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Treasury untuk pinjaman; akuntan untuk modal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Kelompok sumber pendanaan, bukan seluruh kewajiban. Utang vendor, payroll, pajak dan antarunit tetap di menu pemilik.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Pokok pinjaman; angsuran jatuh tempo; setoran modal; distribusi disetujui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Pembayaran pinjaman jangan terbatas pada satu bank; laba periode harus dapat ditelusuri ke laporan dan penutupan.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Pinjaman — tab awal</x:v>
      </x:c>
      <x:c r="B11" s="17" t="str">
        <x:v>1. Pinjaman — tab awal</x:v>
      </x:c>
      <x:c r="C11" s="17" t="str">
        <x:v>1. Pinjaman — tab awal</x:v>
      </x:c>
      <x:c r="D11" s="17" t="str">
        <x:v>1. Pinjaman — tab awal</x:v>
      </x:c>
      <x:c r="E11" s="17" t="str">
        <x:v>1. Pinjaman — tab awal</x:v>
      </x:c>
      <x:c r="F11" s="17" t="str">
        <x:v>1. Pinjaman — tab awal</x:v>
      </x:c>
      <x:c r="G11" s="17" t="str">
        <x:v>1. Pinjaman — tab awal</x:v>
      </x:c>
      <x:c r="H11" s="17" t="str">
        <x:v>1. Pinjaman — tab awal</x:v>
      </x:c>
    </x:row>
    <x:row r="12" ht="32" customHeight="1">
      <x:c r="A12" s="15" t="str">
        <x:v>Tujuan tab</x:v>
      </x:c>
      <x:c r="B12" s="14" t="str">
        <x:v>Kontrak pendanaan eksternal beserta saldo pokok.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Pemberi dana; unit; jenis; status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Pinjaman</x:v>
      </x:c>
      <x:c r="B14" s="10" t="str">
        <x:v>Pemberi dana</x:v>
      </x:c>
      <x:c r="C14" s="10" t="str">
        <x:v>Unit</x:v>
      </x:c>
      <x:c r="D14" s="10" t="str">
        <x:v>Jenis</x:v>
      </x:c>
      <x:c r="E14" s="10" t="str">
        <x:v>Pokok awal Rp</x:v>
      </x:c>
      <x:c r="F14" s="10" t="str">
        <x:v>Pokok tersisa Rp</x:v>
      </x:c>
      <x:c r="G14" s="10" t="str">
        <x:v>Jatuh tempo</x:v>
      </x:c>
      <x:c r="H14" s="10" t="str">
        <x:v>Status</x:v>
      </x:c>
    </x:row>
    <x:row r="15" ht="48" customHeight="1">
      <x:c r="A15" s="8" t="str">
        <x:v>LOAN-001</x:v>
      </x:c>
      <x:c r="B15" s="8" t="str">
        <x:v>Bank A</x:v>
      </x:c>
      <x:c r="C15" s="8" t="str">
        <x:v>HO</x:v>
      </x:c>
      <x:c r="D15" s="8" t="str">
        <x:v>Pinjaman bank</x:v>
      </x:c>
      <x:c r="E15" s="18" t="n">
        <x:v>100000000</x:v>
      </x:c>
      <x:c r="F15" s="18" t="n">
        <x:v>100000000</x:v>
      </x:c>
      <x:c r="G15" s="19" t="n">
        <x:v>46640</x:v>
      </x:c>
      <x:c r="H15" s="8" t="str">
        <x:v>Aktif</x:v>
      </x:c>
    </x:row>
    <x:row r="17" ht="32" customHeight="1">
      <x:c r="A17" s="15" t="str">
        <x:v>Tombol / tindakan</x:v>
      </x:c>
      <x:c r="B17" s="14" t="str">
        <x:v>Buat kontrak; tautkan pencairan; lihat jadwal</x:v>
      </x:c>
      <x:c r="C17" s="14"/>
      <x:c r="D17" s="14"/>
      <x:c r="E17" s="14"/>
      <x:c r="F17" s="14"/>
      <x:c r="G17" s="14"/>
      <x:c r="H17" s="14"/>
    </x:row>
    <x:row r="18" ht="32" customHeight="1">
      <x:c r="A18" s="15" t="str">
        <x:v>Status dokumen</x:v>
      </x:c>
      <x:c r="B18" s="14" t="str">
        <x:v>Draf; aktif; selesai; direstrukturisasi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Saat baris dibuka</x:v>
      </x:c>
      <x:c r="B19" s="14" t="str">
        <x:v>Kontrak, rekening, jaminan bila ada, pencairan, pokok, bunga/biaya dan riwayat perubahan.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Alur</x:v>
      </x:c>
      <x:c r="B20" s="14" t="str">
        <x:v>Kontrak → pencairan Kas &amp; Bank → jadwal → pelunasan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Tampilan kosong</x:v>
      </x:c>
      <x:c r="B21" s="14" t="str">
        <x:v>Tampilkan “Belum ada data sesuai filter”, pilihan hapus filter, dan aksi membuat/mengambil data hanya bila pengguna berwenang.</x:v>
      </x:c>
      <x:c r="C21" s="14"/>
      <x:c r="D21" s="14"/>
      <x:c r="E21" s="14"/>
      <x:c r="F21" s="14"/>
      <x:c r="G21" s="14"/>
      <x:c r="H21" s="14"/>
    </x:row>
    <x:row r="24" ht="27" customHeight="1">
      <x:c r="A24" s="17" t="str">
        <x:v>2. Angsuran &amp; biaya</x:v>
      </x:c>
      <x:c r="B24" s="17" t="str">
        <x:v>2. Angsuran &amp; biaya</x:v>
      </x:c>
      <x:c r="C24" s="17" t="str">
        <x:v>2. Angsuran &amp; biaya</x:v>
      </x:c>
      <x:c r="D24" s="17" t="str">
        <x:v>2. Angsuran &amp; biaya</x:v>
      </x:c>
      <x:c r="E24" s="17" t="str">
        <x:v>2. Angsuran &amp; biaya</x:v>
      </x:c>
      <x:c r="F24" s="17" t="str">
        <x:v>2. Angsuran &amp; biaya</x:v>
      </x:c>
      <x:c r="G24" s="17" t="str">
        <x:v>2. Angsuran &amp; biaya</x:v>
      </x:c>
      <x:c r="H24" s="17" t="str">
        <x:v>2. Angsuran &amp; biaya</x:v>
      </x:c>
    </x:row>
    <x:row r="25" ht="32" customHeight="1">
      <x:c r="A25" s="15" t="str">
        <x:v>Tujuan tab</x:v>
      </x:c>
      <x:c r="B25" s="14" t="str">
        <x:v>Pokok, bunga dan biaya per jatuh tempo.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Filter</x:v>
      </x:c>
      <x:c r="B26" s="14" t="str">
        <x:v>Pinjaman; pemberi dana; periode; status</x:v>
      </x:c>
      <x:c r="C26" s="14"/>
      <x:c r="D26" s="14"/>
      <x:c r="E26" s="14"/>
      <x:c r="F26" s="14"/>
      <x:c r="G26" s="14"/>
      <x:c r="H26" s="14"/>
    </x:row>
    <x:row r="27" ht="36" customHeight="1">
      <x:c r="A27" s="10" t="str">
        <x:v>Angsuran</x:v>
      </x:c>
      <x:c r="B27" s="10" t="str">
        <x:v>Pinjaman</x:v>
      </x:c>
      <x:c r="C27" s="10" t="str">
        <x:v>Jatuh tempo</x:v>
      </x:c>
      <x:c r="D27" s="10" t="str">
        <x:v>Pokok Rp</x:v>
      </x:c>
      <x:c r="E27" s="10" t="str">
        <x:v>Bunga Rp</x:v>
      </x:c>
      <x:c r="F27" s="10" t="str">
        <x:v>Biaya Rp</x:v>
      </x:c>
      <x:c r="G27" s="10" t="str">
        <x:v>Total Rp</x:v>
      </x:c>
      <x:c r="H27" s="10" t="str">
        <x:v>Status</x:v>
      </x:c>
    </x:row>
    <x:row r="28" ht="48" customHeight="1">
      <x:c r="A28" s="8" t="str">
        <x:v>INST-001</x:v>
      </x:c>
      <x:c r="B28" s="8" t="str">
        <x:v>LOAN-001</x:v>
      </x:c>
      <x:c r="C28" s="19" t="n">
        <x:v>46290</x:v>
      </x:c>
      <x:c r="D28" s="18" t="n">
        <x:v>10000000</x:v>
      </x:c>
      <x:c r="E28" s="18" t="n">
        <x:v>500000</x:v>
      </x:c>
      <x:c r="F28" s="18" t="n">
        <x:v>0</x:v>
      </x:c>
      <x:c r="G28" s="18" t="n">
        <x:f>D28+E28+F28</x:f>
        <x:v>10500000</x:v>
      </x:c>
      <x:c r="H28" s="8" t="str">
        <x:v>Belum dibayar</x:v>
      </x:c>
    </x:row>
    <x:row r="30" ht="32" customHeight="1">
      <x:c r="A30" s="15" t="str">
        <x:v>Tombol / tindakan</x:v>
      </x:c>
      <x:c r="B30" s="14" t="str">
        <x:v>Tinjau jadwal; siapkan pembayaran; alokasikan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Status dokumen</x:v>
      </x:c>
      <x:c r="B31" s="14" t="str">
        <x:v>Belum dibayar; sebagian; lunas; ditunda</x:v>
      </x:c>
      <x:c r="C31" s="14"/>
      <x:c r="D31" s="14"/>
      <x:c r="E31" s="14"/>
      <x:c r="F31" s="14"/>
      <x:c r="G31" s="14"/>
      <x:c r="H31" s="14"/>
    </x:row>
    <x:row r="32" ht="32" customHeight="1">
      <x:c r="A32" s="15" t="str">
        <x:v>Saat baris dibuka</x:v>
      </x:c>
      <x:c r="B32" s="14" t="str">
        <x:v>Rincian pokok/bunga/biaya, dasar kontrak, pembayaran, akrual terkait dan jurnal. Angka contoh bukan rekomendasi syarat pinjaman.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Alur</x:v>
      </x:c>
      <x:c r="B33" s="14" t="str">
        <x:v>Jadwal → pembayaran → alokasi pokok/bunga/biaya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Tampilan kosong</x:v>
      </x:c>
      <x:c r="B34" s="14" t="str">
        <x:v>Tampilkan “Belum ada data sesuai filter”, pilihan hapus filter, dan aksi membuat/mengambil data hanya bila pengguna berwenang.</x:v>
      </x:c>
      <x:c r="C34" s="14"/>
      <x:c r="D34" s="14"/>
      <x:c r="E34" s="14"/>
      <x:c r="F34" s="14"/>
      <x:c r="G34" s="14"/>
      <x:c r="H34" s="14"/>
    </x:row>
    <x:row r="37" ht="27" customHeight="1">
      <x:c r="A37" s="17" t="str">
        <x:v>3. Modal &amp; distribusi</x:v>
      </x:c>
      <x:c r="B37" s="17" t="str">
        <x:v>3. Modal &amp; distribusi</x:v>
      </x:c>
      <x:c r="C37" s="17" t="str">
        <x:v>3. Modal &amp; distribusi</x:v>
      </x:c>
      <x:c r="D37" s="17" t="str">
        <x:v>3. Modal &amp; distribusi</x:v>
      </x:c>
      <x:c r="E37" s="17" t="str">
        <x:v>3. Modal &amp; distribusi</x:v>
      </x:c>
      <x:c r="F37" s="17" t="str">
        <x:v>3. Modal &amp; distribusi</x:v>
      </x:c>
      <x:c r="G37" s="17" t="str">
        <x:v>3. Modal &amp; distribusi</x:v>
      </x:c>
      <x:c r="H37" s="17" t="str">
        <x:v>3. Modal &amp; distribusi</x:v>
      </x:c>
    </x:row>
    <x:row r="38" ht="32" customHeight="1">
      <x:c r="A38" s="15" t="str">
        <x:v>Tujuan tab</x:v>
      </x:c>
      <x:c r="B38" s="14" t="str">
        <x:v>Transaksi pemilik yang memengaruhi modal.</x:v>
      </x:c>
      <x:c r="C38" s="14"/>
      <x:c r="D38" s="14"/>
      <x:c r="E38" s="14"/>
      <x:c r="F38" s="14"/>
      <x:c r="G38" s="14"/>
      <x:c r="H38" s="14"/>
    </x:row>
    <x:row r="39" ht="32" customHeight="1">
      <x:c r="A39" s="15" t="str">
        <x:v>Filter</x:v>
      </x:c>
      <x:c r="B39" s="14" t="str">
        <x:v>Pemilik; jenis; unit; periode</x:v>
      </x:c>
      <x:c r="C39" s="14"/>
      <x:c r="D39" s="14"/>
      <x:c r="E39" s="14"/>
      <x:c r="F39" s="14"/>
      <x:c r="G39" s="14"/>
      <x:c r="H39" s="14"/>
    </x:row>
    <x:row r="40" ht="36" customHeight="1">
      <x:c r="A40" s="10" t="str">
        <x:v>Transaksi</x:v>
      </x:c>
      <x:c r="B40" s="10" t="str">
        <x:v>Pemilik</x:v>
      </x:c>
      <x:c r="C40" s="10" t="str">
        <x:v>Unit</x:v>
      </x:c>
      <x:c r="D40" s="10" t="str">
        <x:v>Jenis</x:v>
      </x:c>
      <x:c r="E40" s="10" t="str">
        <x:v>Tanggal</x:v>
      </x:c>
      <x:c r="F40" s="10" t="str">
        <x:v>Nilai Rp</x:v>
      </x:c>
      <x:c r="G40" s="10" t="str">
        <x:v>Referensi kas</x:v>
      </x:c>
      <x:c r="H40" s="10" t="str">
        <x:v>Status</x:v>
      </x:c>
    </x:row>
    <x:row r="41" ht="48" customHeight="1">
      <x:c r="A41" s="8" t="str">
        <x:v>EQ-001</x:v>
      </x:c>
      <x:c r="B41" s="8" t="str">
        <x:v>Pemilik A</x:v>
      </x:c>
      <x:c r="C41" s="8" t="str">
        <x:v>HO</x:v>
      </x:c>
      <x:c r="D41" s="8" t="str">
        <x:v>Setoran modal</x:v>
      </x:c>
      <x:c r="E41" s="19" t="n">
        <x:v>46270</x:v>
      </x:c>
      <x:c r="F41" s="18" t="n">
        <x:v>50000000</x:v>
      </x:c>
      <x:c r="G41" s="8" t="str">
        <x:v>RCPT-EQ-001</x:v>
      </x:c>
      <x:c r="H41" s="8" t="str">
        <x:v>Tercatat</x:v>
      </x:c>
    </x:row>
    <x:row r="43" ht="32" customHeight="1">
      <x:c r="A43" s="15" t="str">
        <x:v>Tombol / tindakan</x:v>
      </x:c>
      <x:c r="B43" s="14" t="str">
        <x:v>Catat keputusan; tautkan penerimaan/pembayaran; lihat jurnal</x:v>
      </x:c>
      <x:c r="C43" s="14"/>
      <x:c r="D43" s="14"/>
      <x:c r="E43" s="14"/>
      <x:c r="F43" s="14"/>
      <x:c r="G43" s="14"/>
      <x:c r="H43" s="14"/>
    </x:row>
    <x:row r="44" ht="32" customHeight="1">
      <x:c r="A44" s="15" t="str">
        <x:v>Status dokumen</x:v>
      </x:c>
      <x:c r="B44" s="14" t="str">
        <x:v>Draf; disetujui; menunggu kas; tercatat; dibalik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Saat baris dibuka</x:v>
      </x:c>
      <x:c r="B45" s="14" t="str">
        <x:v>Dasar keputusan, pemilik, jenis perubahan modal, kas terkait dan jurnal. Distribusi harus punya dasar keputusan.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Alur</x:v>
      </x:c>
      <x:c r="B46" s="14" t="str">
        <x:v>Keputusan pemilik → kas jika ada → perubahan modal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Tampilan kosong</x:v>
      </x:c>
      <x:c r="B47" s="14" t="str">
        <x:v>Tampilkan “Belum ada data sesuai filter”, pilihan hapus filter, dan aksi membuat/mengambil data hanya bila pengguna berwenang.</x:v>
      </x:c>
      <x:c r="C47" s="14"/>
      <x:c r="D47" s="14"/>
      <x:c r="E47" s="14"/>
      <x:c r="F47" s="14"/>
      <x:c r="G47" s="14"/>
      <x:c r="H47" s="14"/>
    </x:row>
    <x:row r="50" ht="27" customHeight="1">
      <x:c r="A50" s="17" t="str">
        <x:v>4. Perubahan ekuitas</x:v>
      </x:c>
      <x:c r="B50" s="17" t="str">
        <x:v>4. Perubahan ekuitas</x:v>
      </x:c>
      <x:c r="C50" s="17" t="str">
        <x:v>4. Perubahan ekuitas</x:v>
      </x:c>
      <x:c r="D50" s="17" t="str">
        <x:v>4. Perubahan ekuitas</x:v>
      </x:c>
      <x:c r="E50" s="17" t="str">
        <x:v>4. Perubahan ekuitas</x:v>
      </x:c>
      <x:c r="F50" s="17" t="str">
        <x:v>4. Perubahan ekuitas</x:v>
      </x:c>
      <x:c r="G50" s="17" t="str">
        <x:v>4. Perubahan ekuitas</x:v>
      </x:c>
      <x:c r="H50" s="17" t="str">
        <x:v>4. Perubahan ekuitas</x:v>
      </x:c>
    </x:row>
    <x:row r="51" ht="32" customHeight="1">
      <x:c r="A51" s="15" t="str">
        <x:v>Tujuan tab</x:v>
      </x:c>
      <x:c r="B51" s="14" t="str">
        <x:v>Jembatan saldo awal, transaksi pemilik dan hasil periode.</x:v>
      </x:c>
      <x:c r="C51" s="14"/>
      <x:c r="D51" s="14"/>
      <x:c r="E51" s="14"/>
      <x:c r="F51" s="14"/>
      <x:c r="G51" s="14"/>
      <x:c r="H51" s="14"/>
    </x:row>
    <x:row r="52" ht="32" customHeight="1">
      <x:c r="A52" s="15" t="str">
        <x:v>Filter</x:v>
      </x:c>
      <x:c r="B52" s="14" t="str">
        <x:v>Unit; periode; komponen ekuitas</x:v>
      </x:c>
      <x:c r="C52" s="14"/>
      <x:c r="D52" s="14"/>
      <x:c r="E52" s="14"/>
      <x:c r="F52" s="14"/>
      <x:c r="G52" s="14"/>
      <x:c r="H52" s="14"/>
    </x:row>
    <x:row r="53" ht="36" customHeight="1">
      <x:c r="A53" s="10" t="str">
        <x:v>Unit</x:v>
      </x:c>
      <x:c r="B53" s="10" t="str">
        <x:v>Periode</x:v>
      </x:c>
      <x:c r="C53" s="10" t="str">
        <x:v>Saldo awal Rp</x:v>
      </x:c>
      <x:c r="D53" s="10" t="str">
        <x:v>Setoran Rp</x:v>
      </x:c>
      <x:c r="E53" s="10" t="str">
        <x:v>Distribusi Rp</x:v>
      </x:c>
      <x:c r="F53" s="10" t="str">
        <x:v>Hasil periode Rp</x:v>
      </x:c>
      <x:c r="G53" s="10" t="str">
        <x:v>Saldo akhir Rp</x:v>
      </x:c>
      <x:c r="H53" s="10" t="str">
        <x:v>Aksi</x:v>
      </x:c>
    </x:row>
    <x:row r="54" ht="48" customHeight="1">
      <x:c r="A54" s="8" t="str">
        <x:v>HO</x:v>
      </x:c>
      <x:c r="B54" s="8" t="str">
        <x:v>2026-09</x:v>
      </x:c>
      <x:c r="C54" s="18" t="n">
        <x:v>100000000</x:v>
      </x:c>
      <x:c r="D54" s="18" t="n">
        <x:v>50000000</x:v>
      </x:c>
      <x:c r="E54" s="18" t="n">
        <x:v>0</x:v>
      </x:c>
      <x:c r="F54" s="18" t="n">
        <x:v>20000000</x:v>
      </x:c>
      <x:c r="G54" s="18" t="n">
        <x:f>C54+D54-E54+F54</x:f>
        <x:v>170000000</x:v>
      </x:c>
      <x:c r="H54" s="8" t="str">
        <x:v>Telusuri sumber</x:v>
      </x:c>
    </x:row>
    <x:row r="56" ht="32" customHeight="1">
      <x:c r="A56" s="15" t="str">
        <x:v>Tombol / tindakan</x:v>
      </x:c>
      <x:c r="B56" s="14" t="str">
        <x:v>Buka sumber; buka hasil periode</x:v>
      </x:c>
      <x:c r="C56" s="14"/>
      <x:c r="D56" s="14"/>
      <x:c r="E56" s="14"/>
      <x:c r="F56" s="14"/>
      <x:c r="G56" s="14"/>
      <x:c r="H56" s="14"/>
    </x:row>
    <x:row r="57" ht="32" customHeight="1">
      <x:c r="A57" s="15" t="str">
        <x:v>Status dokumen</x:v>
      </x:c>
      <x:c r="B57" s="14" t="str">
        <x:v>Periode terbuka; direview; ditutup</x:v>
      </x:c>
      <x:c r="C57" s="14"/>
      <x:c r="D57" s="14"/>
      <x:c r="E57" s="14"/>
      <x:c r="F57" s="14"/>
      <x:c r="G57" s="14"/>
      <x:c r="H57" s="14"/>
    </x:row>
    <x:row r="58" ht="40" customHeight="1">
      <x:c r="A58" s="15" t="str">
        <x:v>Saat baris dibuka</x:v>
      </x:c>
      <x:c r="B58" s="14" t="str">
        <x:v>Setoran/distribusi berasal dari register modal, hasil periode berasal dari buku besar dan kebijakan penutupan. Tampilan baca, bukan input laba manual.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Alur</x:v>
      </x:c>
      <x:c r="B59" s="14" t="str">
        <x:v>Modal + hasil laporan → perubahan ekuitas → rekonsiliasi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Tampilan kosong</x:v>
      </x:c>
      <x:c r="B60" s="14" t="str">
        <x:v>Tampilkan “Belum ada data sesuai filter”, pilihan hapus filter, dan aksi membuat/mengambil data hanya bila pengguna berwenang.</x:v>
      </x:c>
      <x:c r="C60" s="14"/>
      <x:c r="D60" s="14"/>
      <x:c r="E60" s="14"/>
      <x:c r="F60" s="14"/>
      <x:c r="G60" s="14"/>
      <x:c r="H60" s="14"/>
    </x:row>
    <x:row r="63" ht="28" customHeight="1">
      <x:c r="A63" s="27" t="str">
        <x:v>Detail sidebar, tombol, form dan tabel anak</x:v>
      </x:c>
      <x:c r="B63" s="27" t="str">
        <x:v>Detail sidebar, tombol, form dan tabel anak</x:v>
      </x:c>
      <x:c r="C63" s="27" t="str">
        <x:v>Detail sidebar, tombol, form dan tabel anak</x:v>
      </x:c>
      <x:c r="D63" s="27" t="str">
        <x:v>Detail sidebar, tombol, form dan tabel anak</x:v>
      </x:c>
      <x:c r="E63" s="27" t="str">
        <x:v>Detail sidebar, tombol, form dan tabel anak</x:v>
      </x:c>
      <x:c r="F63" s="27" t="str">
        <x:v>Detail sidebar, tombol, form dan tabel anak</x:v>
      </x:c>
      <x:c r="G63" s="27" t="str">
        <x:v>Detail sidebar, tombol, form dan tabel anak</x:v>
      </x:c>
      <x:c r="H63" s="27" t="str">
        <x:v>Detail sidebar, tombol, form dan tabel anak</x:v>
      </x:c>
    </x:row>
    <x:row r="64" ht="38" customHeight="1">
      <x:c r="A64" s="25" t="str">
        <x:v>Tab</x:v>
      </x:c>
      <x:c r="B64" s="25" t="str">
        <x:v>Sidebar detail</x:v>
      </x:c>
      <x:c r="C64" s="25" t="str">
        <x:v>Tombol</x:v>
      </x:c>
      <x:c r="D64" s="25" t="str">
        <x:v>Form</x:v>
      </x:c>
      <x:c r="E64" s="25" t="str">
        <x:v>Tabel anak</x:v>
      </x:c>
      <x:c r="F64" s="25" t="str">
        <x:v>Bentuk layar</x:v>
      </x:c>
    </x:row>
    <x:row r="65" ht="86" customHeight="1">
      <x:c r="A65" s="8" t="str">
        <x:v>Pinjaman</x:v>
      </x:c>
      <x:c r="B65" s="8" t="str">
        <x:v>Sheet 16: Pinjaman</x:v>
      </x:c>
      <x:c r="C65" s="8" t="str">
        <x:v>Sheet 17: Pinjaman</x:v>
      </x:c>
      <x:c r="D65" s="8" t="str">
        <x:v>F27, F03, F01; sheet 18–19</x:v>
      </x:c>
      <x:c r="E65" s="8" t="str">
        <x:v>S18; S03; S20; sheet 20–21</x:v>
      </x:c>
      <x:c r="F65" s="8" t="str">
        <x:v>Sidebar detail; form sebagai mode terpisah</x:v>
      </x:c>
    </x:row>
    <x:row r="66" ht="86" customHeight="1">
      <x:c r="A66" s="8" t="str">
        <x:v>Angsuran &amp; biaya</x:v>
      </x:c>
      <x:c r="B66" s="8" t="str">
        <x:v>Sheet 16: Angsuran &amp; biaya</x:v>
      </x:c>
      <x:c r="C66" s="8" t="str">
        <x:v>Sheet 17: Angsuran &amp; biaya</x:v>
      </x:c>
      <x:c r="D66" s="8" t="str">
        <x:v>F27, F02; sheet 18–19</x:v>
      </x:c>
      <x:c r="E66" s="8" t="str">
        <x:v>S18; S03; S20; sheet 20–21</x:v>
      </x:c>
      <x:c r="F66" s="8" t="str">
        <x:v>Sidebar detail; form sebagai mode terpisah</x:v>
      </x:c>
    </x:row>
    <x:row r="67" ht="86" customHeight="1">
      <x:c r="A67" s="8" t="str">
        <x:v>Modal &amp; distribusi</x:v>
      </x:c>
      <x:c r="B67" s="8" t="str">
        <x:v>Sheet 16: Modal &amp; distribusi</x:v>
      </x:c>
      <x:c r="C67" s="8" t="str">
        <x:v>Sheet 17: Modal &amp; distribusi</x:v>
      </x:c>
      <x:c r="D67" s="8" t="str">
        <x:v>F28, F02, F03, F01; sheet 18–19</x:v>
      </x:c>
      <x:c r="E67" s="8" t="str">
        <x:v>S19; S03; S20; sheet 20–21</x:v>
      </x:c>
      <x:c r="F67" s="8" t="str">
        <x:v>Sidebar detail; form sebagai mode terpisah</x:v>
      </x:c>
    </x:row>
    <x:row r="68" ht="86" customHeight="1">
      <x:c r="A68" s="8" t="str">
        <x:v>Perubahan ekuitas</x:v>
      </x:c>
      <x:c r="B68" s="8" t="str">
        <x:v>Sheet 16: Perubahan ekuitas</x:v>
      </x:c>
      <x:c r="C68" s="8" t="str">
        <x:v>Sheet 17: Perubahan ekuitas</x:v>
      </x:c>
      <x:c r="D68" s="8" t="str">
        <x:v>F35; sheet 18–19</x:v>
      </x:c>
      <x:c r="E68" s="8" t="str">
        <x:v>S19; S20; sheet 20–21</x:v>
      </x:c>
      <x:c r="F68" s="8" t="str">
        <x:v>Sidebar detail; form sebagai mode terpisah</x:v>
      </x:c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7:H17"/>
    <x:mergeCell ref="B18:H18"/>
    <x:mergeCell ref="B19:H19"/>
    <x:mergeCell ref="B20:H20"/>
    <x:mergeCell ref="B21:H21"/>
    <x:mergeCell ref="A24:H24"/>
    <x:mergeCell ref="B25:H25"/>
    <x:mergeCell ref="B26:H26"/>
    <x:mergeCell ref="B30:H30"/>
    <x:mergeCell ref="B31:H31"/>
    <x:mergeCell ref="B32:H32"/>
    <x:mergeCell ref="B33:H33"/>
    <x:mergeCell ref="B34:H34"/>
    <x:mergeCell ref="A37:H37"/>
    <x:mergeCell ref="B38:H38"/>
    <x:mergeCell ref="B39:H39"/>
    <x:mergeCell ref="B43:H43"/>
    <x:mergeCell ref="B44:H44"/>
    <x:mergeCell ref="B45:H45"/>
    <x:mergeCell ref="B46:H46"/>
    <x:mergeCell ref="B47:H47"/>
    <x:mergeCell ref="A50:H50"/>
    <x:mergeCell ref="B51:H51"/>
    <x:mergeCell ref="B52:H52"/>
    <x:mergeCell ref="B56:H56"/>
    <x:mergeCell ref="B57:H57"/>
    <x:mergeCell ref="B58:H58"/>
    <x:mergeCell ref="B59:H59"/>
    <x:mergeCell ref="B60:H60"/>
    <x:mergeCell ref="A63:H63"/>
  </x:mergeCells>
  <x:pageMargins left="0.7" right="0.7" top="0.75" bottom="0.75" header="0.3" footer="0.3"/>
  <x:tableParts count="5">
    <x:tablePart xmlns:r="http://schemas.openxmlformats.org/officeDocument/2006/relationships" r:id="Rebda49ef884447ed"/>
    <x:tablePart xmlns:r="http://schemas.openxmlformats.org/officeDocument/2006/relationships" r:id="R6792d5300a44483c"/>
    <x:tablePart xmlns:r="http://schemas.openxmlformats.org/officeDocument/2006/relationships" r:id="Rf49873bad3f14866"/>
    <x:tablePart xmlns:r="http://schemas.openxmlformats.org/officeDocument/2006/relationships" r:id="R5d65deef153446b2"/>
    <x:tablePart xmlns:r="http://schemas.openxmlformats.org/officeDocument/2006/relationships" r:id="R6ec4546a3f6a422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Akuntansi &amp; Tutup Buku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Mengontrol jurnal, pengakuan periodik, rekonsiliasi dan penutupan periode.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Akuntan dan controller</x:v>
      </x:c>
      <x:c r="C6" s="14"/>
      <x:c r="D6" s="14"/>
      <x:c r="E6" s="14"/>
      <x:c r="F6" s="14"/>
      <x:c r="G6" s="14"/>
      <x:c r="H6" s="14"/>
    </x:row>
    <x:row r="7" ht="40" customHeight="1">
      <x:c r="A7" s="15" t="str">
        <x:v>Batas tanggung jawab</x:v>
      </x:c>
      <x:c r="B7" s="14" t="str">
        <x:v>Jurnal otomatis ditelusuri/koreksi melalui dokumen sumber. Jurnal manual untuk kejadian yang memang memerlukan akuntansi langsung.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Jurnal perlu review; jadwal belum diposting; rekonsiliasi terbuka; kesiapan tutup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Validasi akun aktif/detail/unit harus seragam; penutupan perlu bukti hasil periode dan kontrol transaksi tertunda.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Jurnal — tab awal</x:v>
      </x:c>
      <x:c r="B11" s="17" t="str">
        <x:v>1. Jurnal — tab awal</x:v>
      </x:c>
      <x:c r="C11" s="17" t="str">
        <x:v>1. Jurnal — tab awal</x:v>
      </x:c>
      <x:c r="D11" s="17" t="str">
        <x:v>1. Jurnal — tab awal</x:v>
      </x:c>
      <x:c r="E11" s="17" t="str">
        <x:v>1. Jurnal — tab awal</x:v>
      </x:c>
      <x:c r="F11" s="17" t="str">
        <x:v>1. Jurnal — tab awal</x:v>
      </x:c>
      <x:c r="G11" s="17" t="str">
        <x:v>1. Jurnal — tab awal</x:v>
      </x:c>
      <x:c r="H11" s="17" t="str">
        <x:v>1. Jurnal — tab awal</x:v>
      </x:c>
    </x:row>
    <x:row r="12" ht="32" customHeight="1">
      <x:c r="A12" s="15" t="str">
        <x:v>Tujuan tab</x:v>
      </x:c>
      <x:c r="B12" s="14" t="str">
        <x:v>Jurnal otomatis dan manual dengan identitas sumber.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Periode; unit; sumber; otomatis/manual; status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Jurnal</x:v>
      </x:c>
      <x:c r="B14" s="10" t="str">
        <x:v>Tanggal</x:v>
      </x:c>
      <x:c r="C14" s="10" t="str">
        <x:v>Unit</x:v>
      </x:c>
      <x:c r="D14" s="10" t="str">
        <x:v>Sumber</x:v>
      </x:c>
      <x:c r="E14" s="10" t="str">
        <x:v>Debit Rp</x:v>
      </x:c>
      <x:c r="F14" s="10" t="str">
        <x:v>Kredit Rp</x:v>
      </x:c>
      <x:c r="G14" s="10" t="str">
        <x:v>Status</x:v>
      </x:c>
      <x:c r="H14" s="10" t="str">
        <x:v>Aksi</x:v>
      </x:c>
    </x:row>
    <x:row r="15" ht="48" customHeight="1">
      <x:c r="A15" s="8" t="str">
        <x:v>JRN-001</x:v>
      </x:c>
      <x:c r="B15" s="19" t="n">
        <x:v>46276</x:v>
      </x:c>
      <x:c r="C15" s="8" t="str">
        <x:v>HO</x:v>
      </x:c>
      <x:c r="D15" s="8" t="str">
        <x:v>PAY-001</x:v>
      </x:c>
      <x:c r="E15" s="18" t="n">
        <x:v>5000000</x:v>
      </x:c>
      <x:c r="F15" s="18" t="n">
        <x:v>5000000</x:v>
      </x:c>
      <x:c r="G15" s="8" t="str">
        <x:v>Diposting</x:v>
      </x:c>
      <x:c r="H15" s="8" t="str">
        <x:v>Buka sumber</x:v>
      </x:c>
    </x:row>
    <x:row r="17" ht="32" customHeight="1">
      <x:c r="A17" s="15" t="str">
        <x:v>Tombol / tindakan</x:v>
      </x:c>
      <x:c r="B17" s="14" t="str">
        <x:v>Buat jurnal manual; review; posting; balik sesuai otorisasi</x:v>
      </x:c>
      <x:c r="C17" s="14"/>
      <x:c r="D17" s="14"/>
      <x:c r="E17" s="14"/>
      <x:c r="F17" s="14"/>
      <x:c r="G17" s="14"/>
      <x:c r="H17" s="14"/>
    </x:row>
    <x:row r="18" ht="32" customHeight="1">
      <x:c r="A18" s="15" t="str">
        <x:v>Status dokumen</x:v>
      </x:c>
      <x:c r="B18" s="14" t="str">
        <x:v>Draf; direview; diposting; dibalik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Saat baris dibuka</x:v>
      </x:c>
      <x:c r="B19" s="14" t="str">
        <x:v>Baris akun/unit/debit/kredit, alasan, lampiran, sumber, pembalikan dan riwayat. Akun nonaktif/induk/unit tidak sah ditolak.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Alur</x:v>
      </x:c>
      <x:c r="B20" s="14" t="str">
        <x:v>Dokumen atau jurnal manual → validasi → posting → GL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Tampilan kosong</x:v>
      </x:c>
      <x:c r="B21" s="14" t="str">
        <x:v>Tampilkan “Belum ada data sesuai filter”, pilihan hapus filter, dan aksi membuat/mengambil data hanya bila pengguna berwenang.</x:v>
      </x:c>
      <x:c r="C21" s="14"/>
      <x:c r="D21" s="14"/>
      <x:c r="E21" s="14"/>
      <x:c r="F21" s="14"/>
      <x:c r="G21" s="14"/>
      <x:c r="H21" s="14"/>
    </x:row>
    <x:row r="24" ht="27" customHeight="1">
      <x:c r="A24" s="17" t="str">
        <x:v>2. Pengakuan periodik</x:v>
      </x:c>
      <x:c r="B24" s="17" t="str">
        <x:v>2. Pengakuan periodik</x:v>
      </x:c>
      <x:c r="C24" s="17" t="str">
        <x:v>2. Pengakuan periodik</x:v>
      </x:c>
      <x:c r="D24" s="17" t="str">
        <x:v>2. Pengakuan periodik</x:v>
      </x:c>
      <x:c r="E24" s="17" t="str">
        <x:v>2. Pengakuan periodik</x:v>
      </x:c>
      <x:c r="F24" s="17" t="str">
        <x:v>2. Pengakuan periodik</x:v>
      </x:c>
      <x:c r="G24" s="17" t="str">
        <x:v>2. Pengakuan periodik</x:v>
      </x:c>
      <x:c r="H24" s="17" t="str">
        <x:v>2. Pengakuan periodik</x:v>
      </x:c>
    </x:row>
    <x:row r="25" ht="32" customHeight="1">
      <x:c r="A25" s="15" t="str">
        <x:v>Tujuan tab</x:v>
      </x:c>
      <x:c r="B25" s="14" t="str">
        <x:v>Kontrol akrual, amortisasi, penyusutan dan pembalikan terjadwal.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Filter</x:v>
      </x:c>
      <x:c r="B26" s="14" t="str">
        <x:v>Jenis; unit; periode; status</x:v>
      </x:c>
      <x:c r="C26" s="14"/>
      <x:c r="D26" s="14"/>
      <x:c r="E26" s="14"/>
      <x:c r="F26" s="14"/>
      <x:c r="G26" s="14"/>
      <x:c r="H26" s="14"/>
    </x:row>
    <x:row r="27" ht="36" customHeight="1">
      <x:c r="A27" s="10" t="str">
        <x:v>Jadwal</x:v>
      </x:c>
      <x:c r="B27" s="10" t="str">
        <x:v>Jenis</x:v>
      </x:c>
      <x:c r="C27" s="10" t="str">
        <x:v>Unit</x:v>
      </x:c>
      <x:c r="D27" s="10" t="str">
        <x:v>Periode</x:v>
      </x:c>
      <x:c r="E27" s="10" t="str">
        <x:v>Nilai Rp</x:v>
      </x:c>
      <x:c r="F27" s="10" t="str">
        <x:v>Sumber</x:v>
      </x:c>
      <x:c r="G27" s="10" t="str">
        <x:v>Status</x:v>
      </x:c>
      <x:c r="H27" s="10" t="str">
        <x:v>Aksi</x:v>
      </x:c>
    </x:row>
    <x:row r="28" ht="48" customHeight="1">
      <x:c r="A28" s="8" t="str">
        <x:v>PER-001</x:v>
      </x:c>
      <x:c r="B28" s="8" t="str">
        <x:v>Amortisasi sewa</x:v>
      </x:c>
      <x:c r="C28" s="8" t="str">
        <x:v>C006</x:v>
      </x:c>
      <x:c r="D28" s="8" t="str">
        <x:v>2026-09</x:v>
      </x:c>
      <x:c r="E28" s="18" t="n">
        <x:v>1000000</x:v>
      </x:c>
      <x:c r="F28" s="8" t="str">
        <x:v>PRE-001</x:v>
      </x:c>
      <x:c r="G28" s="8" t="str">
        <x:v>Siap review</x:v>
      </x:c>
      <x:c r="H28" s="8" t="str">
        <x:v>Tinjau</x:v>
      </x:c>
    </x:row>
    <x:row r="30" ht="32" customHeight="1">
      <x:c r="A30" s="15" t="str">
        <x:v>Tombol / tindakan</x:v>
      </x:c>
      <x:c r="B30" s="14" t="str">
        <x:v>Tinjau usulan; posting; buka jadwal sumber; balik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Status dokumen</x:v>
      </x:c>
      <x:c r="B31" s="14" t="str">
        <x:v>Belum siap; siap review; disetujui; diposting; dibalik</x:v>
      </x:c>
      <x:c r="C31" s="14"/>
      <x:c r="D31" s="14"/>
      <x:c r="E31" s="14"/>
      <x:c r="F31" s="14"/>
      <x:c r="G31" s="14"/>
      <x:c r="H31" s="14"/>
    </x:row>
    <x:row r="32" ht="32" customHeight="1">
      <x:c r="A32" s="15" t="str">
        <x:v>Saat baris dibuka</x:v>
      </x:c>
      <x:c r="B32" s="14" t="str">
        <x:v>Dasar perhitungan, sumber, periode, akun, jurnal sebelumnya dan pencegahan posting ganda.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Alur</x:v>
      </x:c>
      <x:c r="B33" s="14" t="str">
        <x:v>Jadwal domain/akrual → review akuntansi → jurnal periode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Tampilan kosong</x:v>
      </x:c>
      <x:c r="B34" s="14" t="str">
        <x:v>Tampilkan “Belum ada data sesuai filter”, pilihan hapus filter, dan aksi membuat/mengambil data hanya bila pengguna berwenang.</x:v>
      </x:c>
      <x:c r="C34" s="14"/>
      <x:c r="D34" s="14"/>
      <x:c r="E34" s="14"/>
      <x:c r="F34" s="14"/>
      <x:c r="G34" s="14"/>
      <x:c r="H34" s="14"/>
    </x:row>
    <x:row r="37" ht="27" customHeight="1">
      <x:c r="A37" s="17" t="str">
        <x:v>3. Rekonsiliasi akun</x:v>
      </x:c>
      <x:c r="B37" s="17" t="str">
        <x:v>3. Rekonsiliasi akun</x:v>
      </x:c>
      <x:c r="C37" s="17" t="str">
        <x:v>3. Rekonsiliasi akun</x:v>
      </x:c>
      <x:c r="D37" s="17" t="str">
        <x:v>3. Rekonsiliasi akun</x:v>
      </x:c>
      <x:c r="E37" s="17" t="str">
        <x:v>3. Rekonsiliasi akun</x:v>
      </x:c>
      <x:c r="F37" s="17" t="str">
        <x:v>3. Rekonsiliasi akun</x:v>
      </x:c>
      <x:c r="G37" s="17" t="str">
        <x:v>3. Rekonsiliasi akun</x:v>
      </x:c>
      <x:c r="H37" s="17" t="str">
        <x:v>3. Rekonsiliasi akun</x:v>
      </x:c>
    </x:row>
    <x:row r="38" ht="32" customHeight="1">
      <x:c r="A38" s="15" t="str">
        <x:v>Tujuan tab</x:v>
      </x:c>
      <x:c r="B38" s="14" t="str">
        <x:v>Bukti saldo buku besar sama dengan rincian pendukung.</x:v>
      </x:c>
      <x:c r="C38" s="14"/>
      <x:c r="D38" s="14"/>
      <x:c r="E38" s="14"/>
      <x:c r="F38" s="14"/>
      <x:c r="G38" s="14"/>
      <x:c r="H38" s="14"/>
    </x:row>
    <x:row r="39" ht="32" customHeight="1">
      <x:c r="A39" s="15" t="str">
        <x:v>Filter</x:v>
      </x:c>
      <x:c r="B39" s="14" t="str">
        <x:v>Periode; unit; kelompok; status; reviewer</x:v>
      </x:c>
      <x:c r="C39" s="14"/>
      <x:c r="D39" s="14"/>
      <x:c r="E39" s="14"/>
      <x:c r="F39" s="14"/>
      <x:c r="G39" s="14"/>
      <x:c r="H39" s="14"/>
    </x:row>
    <x:row r="40" ht="36" customHeight="1">
      <x:c r="A40" s="10" t="str">
        <x:v>Rekonsiliasi</x:v>
      </x:c>
      <x:c r="B40" s="10" t="str">
        <x:v>Kelompok</x:v>
      </x:c>
      <x:c r="C40" s="10" t="str">
        <x:v>Unit</x:v>
      </x:c>
      <x:c r="D40" s="10" t="str">
        <x:v>Periode</x:v>
      </x:c>
      <x:c r="E40" s="10" t="str">
        <x:v>GL Rp</x:v>
      </x:c>
      <x:c r="F40" s="10" t="str">
        <x:v>Rincian Rp</x:v>
      </x:c>
      <x:c r="G40" s="10" t="str">
        <x:v>Selisih Rp</x:v>
      </x:c>
      <x:c r="H40" s="10" t="str">
        <x:v>Status</x:v>
      </x:c>
    </x:row>
    <x:row r="41" ht="48" customHeight="1">
      <x:c r="A41" s="8" t="str">
        <x:v>REC-001</x:v>
      </x:c>
      <x:c r="B41" s="8" t="str">
        <x:v>Piutang pegawai</x:v>
      </x:c>
      <x:c r="C41" s="8" t="str">
        <x:v>C006</x:v>
      </x:c>
      <x:c r="D41" s="8" t="str">
        <x:v>2026-09</x:v>
      </x:c>
      <x:c r="E41" s="18" t="n">
        <x:v>1500000</x:v>
      </x:c>
      <x:c r="F41" s="18" t="n">
        <x:v>1500000</x:v>
      </x:c>
      <x:c r="G41" s="18" t="n">
        <x:f>E41-F41</x:f>
        <x:v>0</x:v>
      </x:c>
      <x:c r="H41" s="8" t="str">
        <x:v>Cocok</x:v>
      </x:c>
    </x:row>
    <x:row r="43" ht="32" customHeight="1">
      <x:c r="A43" s="15" t="str">
        <x:v>Tombol / tindakan</x:v>
      </x:c>
      <x:c r="B43" s="14" t="str">
        <x:v>Bandingkan; lampirkan bukti; tugaskan; tandai selesai</x:v>
      </x:c>
      <x:c r="C43" s="14"/>
      <x:c r="D43" s="14"/>
      <x:c r="E43" s="14"/>
      <x:c r="F43" s="14"/>
      <x:c r="G43" s="14"/>
      <x:c r="H43" s="14"/>
    </x:row>
    <x:row r="44" ht="32" customHeight="1">
      <x:c r="A44" s="15" t="str">
        <x:v>Status dokumen</x:v>
      </x:c>
      <x:c r="B44" s="14" t="str">
        <x:v>Belum disiapkan; disiapkan; selisih; cocok; direview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Saat baris dibuka</x:v>
      </x:c>
      <x:c r="B45" s="14" t="str">
        <x:v>Rincian register, GL, selisih, bukti dan reviewer. Koreksi dibuat pada sumber yang salah.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Alur</x:v>
      </x:c>
      <x:c r="B46" s="14" t="str">
        <x:v>Register ↔ GL → koreksi sumber → review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Tampilan kosong</x:v>
      </x:c>
      <x:c r="B47" s="14" t="str">
        <x:v>Tampilkan “Belum ada data sesuai filter”, pilihan hapus filter, dan aksi membuat/mengambil data hanya bila pengguna berwenang.</x:v>
      </x:c>
      <x:c r="C47" s="14"/>
      <x:c r="D47" s="14"/>
      <x:c r="E47" s="14"/>
      <x:c r="F47" s="14"/>
      <x:c r="G47" s="14"/>
      <x:c r="H47" s="14"/>
    </x:row>
    <x:row r="50" ht="27" customHeight="1">
      <x:c r="A50" s="17" t="str">
        <x:v>4. Tutup periode</x:v>
      </x:c>
      <x:c r="B50" s="17" t="str">
        <x:v>4. Tutup periode</x:v>
      </x:c>
      <x:c r="C50" s="17" t="str">
        <x:v>4. Tutup periode</x:v>
      </x:c>
      <x:c r="D50" s="17" t="str">
        <x:v>4. Tutup periode</x:v>
      </x:c>
      <x:c r="E50" s="17" t="str">
        <x:v>4. Tutup periode</x:v>
      </x:c>
      <x:c r="F50" s="17" t="str">
        <x:v>4. Tutup periode</x:v>
      </x:c>
      <x:c r="G50" s="17" t="str">
        <x:v>4. Tutup periode</x:v>
      </x:c>
      <x:c r="H50" s="17" t="str">
        <x:v>4. Tutup periode</x:v>
      </x:c>
    </x:row>
    <x:row r="51" ht="32" customHeight="1">
      <x:c r="A51" s="15" t="str">
        <x:v>Tujuan tab</x:v>
      </x:c>
      <x:c r="B51" s="14" t="str">
        <x:v>Checklist dan keputusan penutupan yang dapat ditelusuri.</x:v>
      </x:c>
      <x:c r="C51" s="14"/>
      <x:c r="D51" s="14"/>
      <x:c r="E51" s="14"/>
      <x:c r="F51" s="14"/>
      <x:c r="G51" s="14"/>
      <x:c r="H51" s="14"/>
    </x:row>
    <x:row r="52" ht="32" customHeight="1">
      <x:c r="A52" s="15" t="str">
        <x:v>Filter</x:v>
      </x:c>
      <x:c r="B52" s="14" t="str">
        <x:v>Periode; unit; langkah; status</x:v>
      </x:c>
      <x:c r="C52" s="14"/>
      <x:c r="D52" s="14"/>
      <x:c r="E52" s="14"/>
      <x:c r="F52" s="14"/>
      <x:c r="G52" s="14"/>
      <x:c r="H52" s="14"/>
    </x:row>
    <x:row r="53" ht="36" customHeight="1">
      <x:c r="A53" s="10" t="str">
        <x:v>Periode</x:v>
      </x:c>
      <x:c r="B53" s="10" t="str">
        <x:v>Unit</x:v>
      </x:c>
      <x:c r="C53" s="10" t="str">
        <x:v>Langkah</x:v>
      </x:c>
      <x:c r="D53" s="10" t="str">
        <x:v>Pemilik</x:v>
      </x:c>
      <x:c r="E53" s="10" t="str">
        <x:v>Tenggat</x:v>
      </x:c>
      <x:c r="F53" s="10" t="str">
        <x:v>Status</x:v>
      </x:c>
      <x:c r="G53" s="10" t="str">
        <x:v>Bukti</x:v>
      </x:c>
      <x:c r="H53" s="10" t="str">
        <x:v>Aksi</x:v>
      </x:c>
    </x:row>
    <x:row r="54" ht="48" customHeight="1">
      <x:c r="A54" s="8" t="str">
        <x:v>2026-09</x:v>
      </x:c>
      <x:c r="B54" s="8" t="str">
        <x:v>HO</x:v>
      </x:c>
      <x:c r="C54" s="8" t="str">
        <x:v>Rekonsiliasi bank</x:v>
      </x:c>
      <x:c r="D54" s="8" t="str">
        <x:v>Treasury</x:v>
      </x:c>
      <x:c r="E54" s="19" t="n">
        <x:v>46295</x:v>
      </x:c>
      <x:c r="F54" s="8" t="str">
        <x:v>Belum selesai</x:v>
      </x:c>
      <x:c r="G54" s="8" t="str">
        <x:v>REC-BANK-001</x:v>
      </x:c>
      <x:c r="H54" s="8" t="str">
        <x:v>Buka bukti</x:v>
      </x:c>
    </x:row>
    <x:row r="56" ht="32" customHeight="1">
      <x:c r="A56" s="15" t="str">
        <x:v>Tombol / tindakan</x:v>
      </x:c>
      <x:c r="B56" s="14" t="str">
        <x:v>Buka checklist; review; tutup periode; buka kembali dengan alasan</x:v>
      </x:c>
      <x:c r="C56" s="14"/>
      <x:c r="D56" s="14"/>
      <x:c r="E56" s="14"/>
      <x:c r="F56" s="14"/>
      <x:c r="G56" s="14"/>
      <x:c r="H56" s="14"/>
    </x:row>
    <x:row r="57" ht="32" customHeight="1">
      <x:c r="A57" s="15" t="str">
        <x:v>Status dokumen</x:v>
      </x:c>
      <x:c r="B57" s="14" t="str">
        <x:v>Terbuka; dalam review; ditutup; dibuka kembali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Saat baris dibuka</x:v>
      </x:c>
      <x:c r="B58" s="14" t="str">
        <x:v>Checklist, transaksi tertunda, rekonsiliasi, laba/rugi, perubahan ekuitas, siapa menutup/membuka dan alasan.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Alur</x:v>
      </x:c>
      <x:c r="B59" s="14" t="str">
        <x:v>Selesaikan domain → rekonsiliasi → review hasil → kunci periode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Tampilan kosong</x:v>
      </x:c>
      <x:c r="B60" s="14" t="str">
        <x:v>Tampilkan “Belum ada data sesuai filter”, pilihan hapus filter, dan aksi membuat/mengambil data hanya bila pengguna berwenang.</x:v>
      </x:c>
      <x:c r="C60" s="14"/>
      <x:c r="D60" s="14"/>
      <x:c r="E60" s="14"/>
      <x:c r="F60" s="14"/>
      <x:c r="G60" s="14"/>
      <x:c r="H60" s="14"/>
    </x:row>
    <x:row r="63" ht="28" customHeight="1">
      <x:c r="A63" s="27" t="str">
        <x:v>Detail sidebar, tombol, form dan tabel anak</x:v>
      </x:c>
      <x:c r="B63" s="27" t="str">
        <x:v>Detail sidebar, tombol, form dan tabel anak</x:v>
      </x:c>
      <x:c r="C63" s="27" t="str">
        <x:v>Detail sidebar, tombol, form dan tabel anak</x:v>
      </x:c>
      <x:c r="D63" s="27" t="str">
        <x:v>Detail sidebar, tombol, form dan tabel anak</x:v>
      </x:c>
      <x:c r="E63" s="27" t="str">
        <x:v>Detail sidebar, tombol, form dan tabel anak</x:v>
      </x:c>
      <x:c r="F63" s="27" t="str">
        <x:v>Detail sidebar, tombol, form dan tabel anak</x:v>
      </x:c>
      <x:c r="G63" s="27" t="str">
        <x:v>Detail sidebar, tombol, form dan tabel anak</x:v>
      </x:c>
      <x:c r="H63" s="27" t="str">
        <x:v>Detail sidebar, tombol, form dan tabel anak</x:v>
      </x:c>
    </x:row>
    <x:row r="64" ht="38" customHeight="1">
      <x:c r="A64" s="25" t="str">
        <x:v>Tab</x:v>
      </x:c>
      <x:c r="B64" s="25" t="str">
        <x:v>Sidebar detail</x:v>
      </x:c>
      <x:c r="C64" s="25" t="str">
        <x:v>Tombol</x:v>
      </x:c>
      <x:c r="D64" s="25" t="str">
        <x:v>Form</x:v>
      </x:c>
      <x:c r="E64" s="25" t="str">
        <x:v>Tabel anak</x:v>
      </x:c>
      <x:c r="F64" s="25" t="str">
        <x:v>Bentuk layar</x:v>
      </x:c>
    </x:row>
    <x:row r="65" ht="86" customHeight="1">
      <x:c r="A65" s="8" t="str">
        <x:v>Jurnal</x:v>
      </x:c>
      <x:c r="B65" s="8" t="str">
        <x:v>Sheet 16: Jurnal</x:v>
      </x:c>
      <x:c r="C65" s="8" t="str">
        <x:v>Sheet 17: Jurnal</x:v>
      </x:c>
      <x:c r="D65" s="8" t="str">
        <x:v>F29, F01; sheet 18–19</x:v>
      </x:c>
      <x:c r="E65" s="8" t="str">
        <x:v>S20; S01; S02; sheet 20–21</x:v>
      </x:c>
      <x:c r="F65" s="8" t="str">
        <x:v>Sidebar detail; form sebagai mode terpisah</x:v>
      </x:c>
    </x:row>
    <x:row r="66" ht="86" customHeight="1">
      <x:c r="A66" s="8" t="str">
        <x:v>Pengakuan periodik</x:v>
      </x:c>
      <x:c r="B66" s="8" t="str">
        <x:v>Sheet 16: Pengakuan periodik</x:v>
      </x:c>
      <x:c r="C66" s="8" t="str">
        <x:v>Sheet 17: Pengakuan periodik</x:v>
      </x:c>
      <x:c r="D66" s="8" t="str">
        <x:v>F22, F01; sheet 18–19</x:v>
      </x:c>
      <x:c r="E66" s="8" t="str">
        <x:v>S09; S20; sheet 20–21</x:v>
      </x:c>
      <x:c r="F66" s="8" t="str">
        <x:v>Sidebar detail; form sebagai mode terpisah</x:v>
      </x:c>
    </x:row>
    <x:row r="67" ht="86" customHeight="1">
      <x:c r="A67" s="8" t="str">
        <x:v>Rekonsiliasi akun</x:v>
      </x:c>
      <x:c r="B67" s="8" t="str">
        <x:v>Sheet 16: Rekonsiliasi akun</x:v>
      </x:c>
      <x:c r="C67" s="8" t="str">
        <x:v>Sheet 17: Rekonsiliasi akun</x:v>
      </x:c>
      <x:c r="D67" s="8" t="str">
        <x:v>F19, F01; sheet 18–19</x:v>
      </x:c>
      <x:c r="E67" s="8" t="str">
        <x:v>S13; S20; sheet 20–21</x:v>
      </x:c>
      <x:c r="F67" s="8" t="str">
        <x:v>Sidebar detail; form sebagai mode terpisah</x:v>
      </x:c>
    </x:row>
    <x:row r="68" ht="86" customHeight="1">
      <x:c r="A68" s="8" t="str">
        <x:v>Tutup periode</x:v>
      </x:c>
      <x:c r="B68" s="8" t="str">
        <x:v>Sheet 16: Tutup periode</x:v>
      </x:c>
      <x:c r="C68" s="8" t="str">
        <x:v>Sheet 17: Tutup periode</x:v>
      </x:c>
      <x:c r="D68" s="8" t="str">
        <x:v>F30, F01; sheet 18–19</x:v>
      </x:c>
      <x:c r="E68" s="8" t="str">
        <x:v>S21; S13; S19; sheet 20–21</x:v>
      </x:c>
      <x:c r="F68" s="8" t="str">
        <x:v>Sidebar detail; form sebagai mode terpisah</x:v>
      </x:c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7:H17"/>
    <x:mergeCell ref="B18:H18"/>
    <x:mergeCell ref="B19:H19"/>
    <x:mergeCell ref="B20:H20"/>
    <x:mergeCell ref="B21:H21"/>
    <x:mergeCell ref="A24:H24"/>
    <x:mergeCell ref="B25:H25"/>
    <x:mergeCell ref="B26:H26"/>
    <x:mergeCell ref="B30:H30"/>
    <x:mergeCell ref="B31:H31"/>
    <x:mergeCell ref="B32:H32"/>
    <x:mergeCell ref="B33:H33"/>
    <x:mergeCell ref="B34:H34"/>
    <x:mergeCell ref="A37:H37"/>
    <x:mergeCell ref="B38:H38"/>
    <x:mergeCell ref="B39:H39"/>
    <x:mergeCell ref="B43:H43"/>
    <x:mergeCell ref="B44:H44"/>
    <x:mergeCell ref="B45:H45"/>
    <x:mergeCell ref="B46:H46"/>
    <x:mergeCell ref="B47:H47"/>
    <x:mergeCell ref="A50:H50"/>
    <x:mergeCell ref="B51:H51"/>
    <x:mergeCell ref="B52:H52"/>
    <x:mergeCell ref="B56:H56"/>
    <x:mergeCell ref="B57:H57"/>
    <x:mergeCell ref="B58:H58"/>
    <x:mergeCell ref="B59:H59"/>
    <x:mergeCell ref="B60:H60"/>
    <x:mergeCell ref="A63:H63"/>
  </x:mergeCells>
  <x:pageMargins left="0.7" right="0.7" top="0.75" bottom="0.75" header="0.3" footer="0.3"/>
  <x:tableParts count="5">
    <x:tablePart xmlns:r="http://schemas.openxmlformats.org/officeDocument/2006/relationships" r:id="R4242fda23b48455d"/>
    <x:tablePart xmlns:r="http://schemas.openxmlformats.org/officeDocument/2006/relationships" r:id="Rd1ba6f67c8044ea7"/>
    <x:tablePart xmlns:r="http://schemas.openxmlformats.org/officeDocument/2006/relationships" r:id="R9fc9635475934adc"/>
    <x:tablePart xmlns:r="http://schemas.openxmlformats.org/officeDocument/2006/relationships" r:id="R26817265b0bf4c8c"/>
    <x:tablePart xmlns:r="http://schemas.openxmlformats.org/officeDocument/2006/relationships" r:id="Rf6a4a29baf874d9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Laporan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Menyajikan hasil dari buku besar dan register yang dapat ditelusuri ke sumber.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Manajemen dan finance sesuai akses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Baca, filter, telusuri dan ekspor. Koreksi diarahkan ke menu sumber; laporan tidak membuat transaksi.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Pendapatan; hasil periode; posisi keuangan; arus kas sesuai definisi laporan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Konsolidasi harus mencakup unit terpilih dan eliminasi yang sah; klasifikasi kode khusus tidak boleh hanya dari digit pertama.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Laporan keuangan — tab awal</x:v>
      </x:c>
      <x:c r="B11" s="17" t="str">
        <x:v>1. Laporan keuangan — tab awal</x:v>
      </x:c>
      <x:c r="C11" s="17" t="str">
        <x:v>1. Laporan keuangan — tab awal</x:v>
      </x:c>
      <x:c r="D11" s="17" t="str">
        <x:v>1. Laporan keuangan — tab awal</x:v>
      </x:c>
      <x:c r="E11" s="17" t="str">
        <x:v>1. Laporan keuangan — tab awal</x:v>
      </x:c>
      <x:c r="F11" s="17" t="str">
        <x:v>1. Laporan keuangan — tab awal</x:v>
      </x:c>
      <x:c r="G11" s="17" t="str">
        <x:v>1. Laporan keuangan — tab awal</x:v>
      </x:c>
      <x:c r="H11" s="17" t="str">
        <x:v>1. Laporan keuangan — tab awal</x:v>
      </x:c>
    </x:row>
    <x:row r="12" ht="32" customHeight="1">
      <x:c r="A12" s="15" t="str">
        <x:v>Tujuan tab</x:v>
      </x:c>
      <x:c r="B12" s="14" t="str">
        <x:v>Pilihan laporan utama dan hasil sesuai periode/unit.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Neraca/laba rugi/arus kas/perubahan ekuitas; periode; unit; komparatif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Laporan</x:v>
      </x:c>
      <x:c r="B14" s="10" t="str">
        <x:v>Periode</x:v>
      </x:c>
      <x:c r="C14" s="10" t="str">
        <x:v>Lingkup</x:v>
      </x:c>
      <x:c r="D14" s="10" t="str">
        <x:v>Versi</x:v>
      </x:c>
      <x:c r="E14" s="10" t="str">
        <x:v>Status periode</x:v>
      </x:c>
      <x:c r="F14" s="10" t="str">
        <x:v>Penanggung jawab</x:v>
      </x:c>
      <x:c r="G14" s="10" t="str">
        <x:v>Diperbarui</x:v>
      </x:c>
      <x:c r="H14" s="10" t="str">
        <x:v>Aksi</x:v>
      </x:c>
    </x:row>
    <x:row r="15" ht="48" customHeight="1">
      <x:c r="A15" s="8" t="str">
        <x:v>Neraca</x:v>
      </x:c>
      <x:c r="B15" s="8" t="str">
        <x:v>2026-09</x:v>
      </x:c>
      <x:c r="C15" s="8" t="str">
        <x:v>HO dan unit terpilih</x:v>
      </x:c>
      <x:c r="D15" s="8" t="str">
        <x:v>Berjalan</x:v>
      </x:c>
      <x:c r="E15" s="8" t="str">
        <x:v>Terbuka</x:v>
      </x:c>
      <x:c r="F15" s="8" t="str">
        <x:v>Akuntansi</x:v>
      </x:c>
      <x:c r="G15" s="19" t="n">
        <x:v>46276</x:v>
      </x:c>
      <x:c r="H15" s="8" t="str">
        <x:v>Buka laporan</x:v>
      </x:c>
    </x:row>
    <x:row r="16" ht="48" customHeight="1">
      <x:c r="A16" s="8" t="str">
        <x:v>Laba rugi</x:v>
      </x:c>
      <x:c r="B16" s="8" t="str">
        <x:v>2026-09</x:v>
      </x:c>
      <x:c r="C16" s="8" t="str">
        <x:v>C006</x:v>
      </x:c>
      <x:c r="D16" s="8" t="str">
        <x:v>Berjalan</x:v>
      </x:c>
      <x:c r="E16" s="8" t="str">
        <x:v>Terbuka</x:v>
      </x:c>
      <x:c r="F16" s="8" t="str">
        <x:v>Akuntansi</x:v>
      </x:c>
      <x:c r="G16" s="19" t="n">
        <x:v>46276</x:v>
      </x:c>
      <x:c r="H16" s="8" t="str">
        <x:v>Buka laporan</x:v>
      </x:c>
    </x:row>
    <x:row r="18" ht="32" customHeight="1">
      <x:c r="A18" s="15" t="str">
        <x:v>Tombol / tindakan</x:v>
      </x:c>
      <x:c r="B18" s="14" t="str">
        <x:v>Buka; telusuri; ekspor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Status dokumen</x:v>
      </x:c>
      <x:c r="B19" s="14" t="str">
        <x:v>Berjalan; periode ditutup</x:v>
      </x:c>
      <x:c r="C19" s="14"/>
      <x:c r="D19" s="14"/>
      <x:c r="E19" s="14"/>
      <x:c r="F19" s="14"/>
      <x:c r="G19" s="14"/>
      <x:c r="H19" s="14"/>
    </x:row>
    <x:row r="20" ht="40" customHeight="1">
      <x:c r="A20" s="15" t="str">
        <x:v>Saat baris dibuka</x:v>
      </x:c>
      <x:c r="B20" s="14" t="str">
        <x:v>Laporan berbentuk hierarki pos dengan kolom periode ini, pembanding dan selisih. Pos → akun → jurnal → sumber. Arus kas memerlukan pemetaan tersendiri.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Alur</x:v>
      </x:c>
      <x:c r="B21" s="14" t="str">
        <x:v>GL dan pemetaan laporan → hasil → telusuri sumber</x:v>
      </x:c>
      <x:c r="C21" s="14"/>
      <x:c r="D21" s="14"/>
      <x:c r="E21" s="14"/>
      <x:c r="F21" s="14"/>
      <x:c r="G21" s="14"/>
      <x:c r="H21" s="14"/>
    </x:row>
    <x:row r="22" ht="32" customHeight="1">
      <x:c r="A22" s="15" t="str">
        <x:v>Tampilan kosong</x:v>
      </x:c>
      <x:c r="B22" s="14" t="str">
        <x:v>Tampilkan “Belum ada data sesuai filter”, pilihan hapus filter, dan aksi membuat/mengambil data hanya bila pengguna berwenang.</x:v>
      </x:c>
      <x:c r="C22" s="14"/>
      <x:c r="D22" s="14"/>
      <x:c r="E22" s="14"/>
      <x:c r="F22" s="14"/>
      <x:c r="G22" s="14"/>
      <x:c r="H22" s="14"/>
    </x:row>
    <x:row r="25" ht="27" customHeight="1">
      <x:c r="A25" s="17" t="str">
        <x:v>2. Buku besar &amp; neraca saldo</x:v>
      </x:c>
      <x:c r="B25" s="17" t="str">
        <x:v>2. Buku besar &amp; neraca saldo</x:v>
      </x:c>
      <x:c r="C25" s="17" t="str">
        <x:v>2. Buku besar &amp; neraca saldo</x:v>
      </x:c>
      <x:c r="D25" s="17" t="str">
        <x:v>2. Buku besar &amp; neraca saldo</x:v>
      </x:c>
      <x:c r="E25" s="17" t="str">
        <x:v>2. Buku besar &amp; neraca saldo</x:v>
      </x:c>
      <x:c r="F25" s="17" t="str">
        <x:v>2. Buku besar &amp; neraca saldo</x:v>
      </x:c>
      <x:c r="G25" s="17" t="str">
        <x:v>2. Buku besar &amp; neraca saldo</x:v>
      </x:c>
      <x:c r="H25" s="17" t="str">
        <x:v>2. Buku besar &amp; neraca saldo</x:v>
      </x:c>
    </x:row>
    <x:row r="26" ht="32" customHeight="1">
      <x:c r="A26" s="15" t="str">
        <x:v>Tujuan tab</x:v>
      </x:c>
      <x:c r="B26" s="14" t="str">
        <x:v>Detail akun dan keseimbangan buku.</x:v>
      </x:c>
      <x:c r="C26" s="14"/>
      <x:c r="D26" s="14"/>
      <x:c r="E26" s="14"/>
      <x:c r="F26" s="14"/>
      <x:c r="G26" s="14"/>
      <x:c r="H26" s="14"/>
    </x:row>
    <x:row r="27" ht="32" customHeight="1">
      <x:c r="A27" s="15" t="str">
        <x:v>Filter</x:v>
      </x:c>
      <x:c r="B27" s="14" t="str">
        <x:v>Akun; unit; periode; sumber</x:v>
      </x:c>
      <x:c r="C27" s="14"/>
      <x:c r="D27" s="14"/>
      <x:c r="E27" s="14"/>
      <x:c r="F27" s="14"/>
      <x:c r="G27" s="14"/>
      <x:c r="H27" s="14"/>
    </x:row>
    <x:row r="28" ht="36" customHeight="1">
      <x:c r="A28" s="10" t="str">
        <x:v>Kode akun</x:v>
      </x:c>
      <x:c r="B28" s="10" t="str">
        <x:v>Nama akun</x:v>
      </x:c>
      <x:c r="C28" s="10" t="str">
        <x:v>Unit</x:v>
      </x:c>
      <x:c r="D28" s="10" t="str">
        <x:v>Awal Rp</x:v>
      </x:c>
      <x:c r="E28" s="10" t="str">
        <x:v>Debit Rp</x:v>
      </x:c>
      <x:c r="F28" s="10" t="str">
        <x:v>Kredit Rp</x:v>
      </x:c>
      <x:c r="G28" s="10" t="str">
        <x:v>Akhir Rp</x:v>
      </x:c>
      <x:c r="H28" s="10" t="str">
        <x:v>Aksi</x:v>
      </x:c>
    </x:row>
    <x:row r="29" ht="48" customHeight="1">
      <x:c r="A29" s="8" t="str">
        <x:v>AKUN-CONTOH</x:v>
      </x:c>
      <x:c r="B29" s="8" t="str">
        <x:v>Kas dan bank</x:v>
      </x:c>
      <x:c r="C29" s="8" t="str">
        <x:v>HO</x:v>
      </x:c>
      <x:c r="D29" s="18" t="n">
        <x:v>20000000</x:v>
      </x:c>
      <x:c r="E29" s="18" t="n">
        <x:v>10000000</x:v>
      </x:c>
      <x:c r="F29" s="18" t="n">
        <x:v>5000000</x:v>
      </x:c>
      <x:c r="G29" s="18" t="n">
        <x:f>D29+E29-F29</x:f>
        <x:v>25000000</x:v>
      </x:c>
      <x:c r="H29" s="8" t="str">
        <x:v>Buka mutasi</x:v>
      </x:c>
    </x:row>
    <x:row r="31" ht="32" customHeight="1">
      <x:c r="A31" s="15" t="str">
        <x:v>Tombol / tindakan</x:v>
      </x:c>
      <x:c r="B31" s="14" t="str">
        <x:v>Lihat mutasi; buka jurnal; ekspor</x:v>
      </x:c>
      <x:c r="C31" s="14"/>
      <x:c r="D31" s="14"/>
      <x:c r="E31" s="14"/>
      <x:c r="F31" s="14"/>
      <x:c r="G31" s="14"/>
      <x:c r="H31" s="14"/>
    </x:row>
    <x:row r="32" ht="32" customHeight="1">
      <x:c r="A32" s="15" t="str">
        <x:v>Status dokumen</x:v>
      </x:c>
      <x:c r="B32" s="14" t="str">
        <x:v>Periode terbuka; periode ditutup</x:v>
      </x:c>
      <x:c r="C32" s="14"/>
      <x:c r="D32" s="14"/>
      <x:c r="E32" s="14"/>
      <x:c r="F32" s="14"/>
      <x:c r="G32" s="14"/>
      <x:c r="H32" s="14"/>
    </x:row>
    <x:row r="33" ht="40" customHeight="1">
      <x:c r="A33" s="15" t="str">
        <x:v>Saat baris dibuka</x:v>
      </x:c>
      <x:c r="B33" s="14" t="str">
        <x:v>Buku besar: tanggal, jurnal, sumber, uraian, debit, kredit, saldo berjalan. Neraca saldo: saldo awal, mutasi dan saldo akhir sesuai sifat akun.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Alur</x:v>
      </x:c>
      <x:c r="B34" s="14" t="str">
        <x:v>GL → akun → jurnal → dokumen</x:v>
      </x:c>
      <x:c r="C34" s="14"/>
      <x:c r="D34" s="14"/>
      <x:c r="E34" s="14"/>
      <x:c r="F34" s="14"/>
      <x:c r="G34" s="14"/>
      <x:c r="H34" s="14"/>
    </x:row>
    <x:row r="35" ht="32" customHeight="1">
      <x:c r="A35" s="15" t="str">
        <x:v>Tampilan kosong</x:v>
      </x:c>
      <x:c r="B35" s="14" t="str">
        <x:v>Tampilkan “Belum ada data sesuai filter”, pilihan hapus filter, dan aksi membuat/mengambil data hanya bila pengguna berwenang.</x:v>
      </x:c>
      <x:c r="C35" s="14"/>
      <x:c r="D35" s="14"/>
      <x:c r="E35" s="14"/>
      <x:c r="F35" s="14"/>
      <x:c r="G35" s="14"/>
      <x:c r="H35" s="14"/>
    </x:row>
    <x:row r="38" ht="27" customHeight="1">
      <x:c r="A38" s="17" t="str">
        <x:v>3. Operasional finance</x:v>
      </x:c>
      <x:c r="B38" s="17" t="str">
        <x:v>3. Operasional finance</x:v>
      </x:c>
      <x:c r="C38" s="17" t="str">
        <x:v>3. Operasional finance</x:v>
      </x:c>
      <x:c r="D38" s="17" t="str">
        <x:v>3. Operasional finance</x:v>
      </x:c>
      <x:c r="E38" s="17" t="str">
        <x:v>3. Operasional finance</x:v>
      </x:c>
      <x:c r="F38" s="17" t="str">
        <x:v>3. Operasional finance</x:v>
      </x:c>
      <x:c r="G38" s="17" t="str">
        <x:v>3. Operasional finance</x:v>
      </x:c>
      <x:c r="H38" s="17" t="str">
        <x:v>3. Operasional finance</x:v>
      </x:c>
    </x:row>
    <x:row r="39" ht="32" customHeight="1">
      <x:c r="A39" s="15" t="str">
        <x:v>Tujuan tab</x:v>
      </x:c>
      <x:c r="B39" s="14" t="str">
        <x:v>Laporan umur piutang/utang, kas dan register pendukung.</x:v>
      </x:c>
      <x:c r="C39" s="14"/>
      <x:c r="D39" s="14"/>
      <x:c r="E39" s="14"/>
      <x:c r="F39" s="14"/>
      <x:c r="G39" s="14"/>
      <x:c r="H39" s="14"/>
    </x:row>
    <x:row r="40" ht="32" customHeight="1">
      <x:c r="A40" s="15" t="str">
        <x:v>Filter</x:v>
      </x:c>
      <x:c r="B40" s="14" t="str">
        <x:v>Jenis laporan; unit; tanggal posisi; pihak; umur</x:v>
      </x:c>
      <x:c r="C40" s="14"/>
      <x:c r="D40" s="14"/>
      <x:c r="E40" s="14"/>
      <x:c r="F40" s="14"/>
      <x:c r="G40" s="14"/>
      <x:c r="H40" s="14"/>
    </x:row>
    <x:row r="41" ht="36" customHeight="1">
      <x:c r="A41" s="10" t="str">
        <x:v>Laporan</x:v>
      </x:c>
      <x:c r="B41" s="10" t="str">
        <x:v>Periode posisi</x:v>
      </x:c>
      <x:c r="C41" s="10" t="str">
        <x:v>Unit</x:v>
      </x:c>
      <x:c r="D41" s="10" t="str">
        <x:v>Dimensi utama</x:v>
      </x:c>
      <x:c r="E41" s="10" t="str">
        <x:v>Sumber register</x:v>
      </x:c>
      <x:c r="F41" s="10" t="str">
        <x:v>Pemilik</x:v>
      </x:c>
      <x:c r="G41" s="10" t="str">
        <x:v>Status data</x:v>
      </x:c>
      <x:c r="H41" s="10" t="str">
        <x:v>Aksi</x:v>
      </x:c>
    </x:row>
    <x:row r="42" ht="48" customHeight="1">
      <x:c r="A42" s="8" t="str">
        <x:v>Umur utang</x:v>
      </x:c>
      <x:c r="B42" s="19" t="n">
        <x:v>46276</x:v>
      </x:c>
      <x:c r="C42" s="8" t="str">
        <x:v>Semua yang diizinkan</x:v>
      </x:c>
      <x:c r="D42" s="8" t="str">
        <x:v>Vendor dan jatuh tempo</x:v>
      </x:c>
      <x:c r="E42" s="8" t="str">
        <x:v>Tagihan</x:v>
      </x:c>
      <x:c r="F42" s="8" t="str">
        <x:v>AP</x:v>
      </x:c>
      <x:c r="G42" s="8" t="str">
        <x:v>Berjalan</x:v>
      </x:c>
      <x:c r="H42" s="8" t="str">
        <x:v>Buka laporan</x:v>
      </x:c>
    </x:row>
    <x:row r="44" ht="32" customHeight="1">
      <x:c r="A44" s="15" t="str">
        <x:v>Tombol / tindakan</x:v>
      </x:c>
      <x:c r="B44" s="14" t="str">
        <x:v>Buka; telusuri; ekspor</x:v>
      </x:c>
      <x:c r="C44" s="14"/>
      <x:c r="D44" s="14"/>
      <x:c r="E44" s="14"/>
      <x:c r="F44" s="14"/>
      <x:c r="G44" s="14"/>
      <x:c r="H44" s="14"/>
    </x:row>
    <x:row r="45" ht="32" customHeight="1">
      <x:c r="A45" s="15" t="str">
        <x:v>Status dokumen</x:v>
      </x:c>
      <x:c r="B45" s="14" t="str">
        <x:v>Berjalan; snapshot ditutup</x:v>
      </x:c>
      <x:c r="C45" s="14"/>
      <x:c r="D45" s="14"/>
      <x:c r="E45" s="14"/>
      <x:c r="F45" s="14"/>
      <x:c r="G45" s="14"/>
      <x:c r="H45" s="14"/>
    </x:row>
    <x:row r="46" ht="40" customHeight="1">
      <x:c r="A46" s="15" t="str">
        <x:v>Saat baris dibuka</x:v>
      </x:c>
      <x:c r="B46" s="14" t="str">
        <x:v>Umur utang/piutang: pihak, dokumen, jatuh tempo, belum jatuh tempo dan bucket umur. Aset/payroll/pajak memakai register sumber masing-masing.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Alur</x:v>
      </x:c>
      <x:c r="B47" s="14" t="str">
        <x:v>Register domain → laporan → dokumen sumber</x:v>
      </x:c>
      <x:c r="C47" s="14"/>
      <x:c r="D47" s="14"/>
      <x:c r="E47" s="14"/>
      <x:c r="F47" s="14"/>
      <x:c r="G47" s="14"/>
      <x:c r="H47" s="14"/>
    </x:row>
    <x:row r="48" ht="32" customHeight="1">
      <x:c r="A48" s="15" t="str">
        <x:v>Tampilan kosong</x:v>
      </x:c>
      <x:c r="B48" s="14" t="str">
        <x:v>Tampilkan “Belum ada data sesuai filter”, pilihan hapus filter, dan aksi membuat/mengambil data hanya bila pengguna berwenang.</x:v>
      </x:c>
      <x:c r="C48" s="14"/>
      <x:c r="D48" s="14"/>
      <x:c r="E48" s="14"/>
      <x:c r="F48" s="14"/>
      <x:c r="G48" s="14"/>
      <x:c r="H48" s="14"/>
    </x:row>
    <x:row r="51" ht="27" customHeight="1">
      <x:c r="A51" s="17" t="str">
        <x:v>4. Konsolidasi</x:v>
      </x:c>
      <x:c r="B51" s="17" t="str">
        <x:v>4. Konsolidasi</x:v>
      </x:c>
      <x:c r="C51" s="17" t="str">
        <x:v>4. Konsolidasi</x:v>
      </x:c>
      <x:c r="D51" s="17" t="str">
        <x:v>4. Konsolidasi</x:v>
      </x:c>
      <x:c r="E51" s="17" t="str">
        <x:v>4. Konsolidasi</x:v>
      </x:c>
      <x:c r="F51" s="17" t="str">
        <x:v>4. Konsolidasi</x:v>
      </x:c>
      <x:c r="G51" s="17" t="str">
        <x:v>4. Konsolidasi</x:v>
      </x:c>
      <x:c r="H51" s="17" t="str">
        <x:v>4. Konsolidasi</x:v>
      </x:c>
    </x:row>
    <x:row r="52" ht="32" customHeight="1">
      <x:c r="A52" s="15" t="str">
        <x:v>Tujuan tab</x:v>
      </x:c>
      <x:c r="B52" s="14" t="str">
        <x:v>Laporan gabungan dengan cakupan dan eliminasi eksplisit.</x:v>
      </x:c>
      <x:c r="C52" s="14"/>
      <x:c r="D52" s="14"/>
      <x:c r="E52" s="14"/>
      <x:c r="F52" s="14"/>
      <x:c r="G52" s="14"/>
      <x:c r="H52" s="14"/>
    </x:row>
    <x:row r="53" ht="32" customHeight="1">
      <x:c r="A53" s="15" t="str">
        <x:v>Filter</x:v>
      </x:c>
      <x:c r="B53" s="14" t="str">
        <x:v>Periode; daftar unit; status penutupan</x:v>
      </x:c>
      <x:c r="C53" s="14"/>
      <x:c r="D53" s="14"/>
      <x:c r="E53" s="14"/>
      <x:c r="F53" s="14"/>
      <x:c r="G53" s="14"/>
      <x:c r="H53" s="14"/>
    </x:row>
    <x:row r="54" ht="36" customHeight="1">
      <x:c r="A54" s="10" t="str">
        <x:v>Paket</x:v>
      </x:c>
      <x:c r="B54" s="10" t="str">
        <x:v>Periode</x:v>
      </x:c>
      <x:c r="C54" s="10" t="str">
        <x:v>Cakupan unit</x:v>
      </x:c>
      <x:c r="D54" s="10" t="str">
        <x:v>Unit siap</x:v>
      </x:c>
      <x:c r="E54" s="10" t="str">
        <x:v>Unit belum siap</x:v>
      </x:c>
      <x:c r="F54" s="10" t="str">
        <x:v>Eliminasi</x:v>
      </x:c>
      <x:c r="G54" s="10" t="str">
        <x:v>Status</x:v>
      </x:c>
      <x:c r="H54" s="10" t="str">
        <x:v>Aksi</x:v>
      </x:c>
    </x:row>
    <x:row r="55" ht="48" customHeight="1">
      <x:c r="A55" s="8" t="str">
        <x:v>CONS-001</x:v>
      </x:c>
      <x:c r="B55" s="8" t="str">
        <x:v>2026-09</x:v>
      </x:c>
      <x:c r="C55" s="8" t="str">
        <x:v>HO dan C001–C013</x:v>
      </x:c>
      <x:c r="D55" s="8" t="n">
        <x:v>0</x:v>
      </x:c>
      <x:c r="E55" s="8" t="n">
        <x:v>14</x:v>
      </x:c>
      <x:c r="F55" s="8" t="str">
        <x:v>Belum direview</x:v>
      </x:c>
      <x:c r="G55" s="8" t="str">
        <x:v>Disiapkan</x:v>
      </x:c>
      <x:c r="H55" s="8" t="str">
        <x:v>Buka cakupan</x:v>
      </x:c>
    </x:row>
    <x:row r="57" ht="32" customHeight="1">
      <x:c r="A57" s="15" t="str">
        <x:v>Tombol / tindakan</x:v>
      </x:c>
      <x:c r="B57" s="14" t="str">
        <x:v>Pilih unit; periksa kelengkapan; tinjau eliminasi; ekspor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Status dokumen</x:v>
      </x:c>
      <x:c r="B58" s="14" t="str">
        <x:v>Disiapkan; ada selisih; direview; final</x:v>
      </x:c>
      <x:c r="C58" s="14"/>
      <x:c r="D58" s="14"/>
      <x:c r="E58" s="14"/>
      <x:c r="F58" s="14"/>
      <x:c r="G58" s="14"/>
      <x:c r="H58" s="14"/>
    </x:row>
    <x:row r="59" ht="40" customHeight="1">
      <x:c r="A59" s="15" t="str">
        <x:v>Saat baris dibuka</x:v>
      </x:c>
      <x:c r="B59" s="14" t="str">
        <x:v>Daftar semua unit terpilih, status data, rincian eliminasi dan laporan sebelum/sesudah eliminasi. Jumlah unit bukan hardcode tiga.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Alur</x:v>
      </x:c>
      <x:c r="B60" s="14" t="str">
        <x:v>Buku tiap unit → rekonsiliasi Antarunit → eliminasi sah → laporan gabungan</x:v>
      </x:c>
      <x:c r="C60" s="14"/>
      <x:c r="D60" s="14"/>
      <x:c r="E60" s="14"/>
      <x:c r="F60" s="14"/>
      <x:c r="G60" s="14"/>
      <x:c r="H60" s="14"/>
    </x:row>
    <x:row r="61" ht="32" customHeight="1">
      <x:c r="A61" s="15" t="str">
        <x:v>Tampilan kosong</x:v>
      </x:c>
      <x:c r="B61" s="14" t="str">
        <x:v>Tampilkan “Belum ada data sesuai filter”, pilihan hapus filter, dan aksi membuat/mengambil data hanya bila pengguna berwenang.</x:v>
      </x:c>
      <x:c r="C61" s="14"/>
      <x:c r="D61" s="14"/>
      <x:c r="E61" s="14"/>
      <x:c r="F61" s="14"/>
      <x:c r="G61" s="14"/>
      <x:c r="H61" s="14"/>
    </x:row>
    <x:row r="65" ht="27" customHeight="1">
      <x:c r="A65" s="17" t="str">
        <x:v>Contoh isi laporan setelah dibuka: laba rugi</x:v>
      </x:c>
      <x:c r="B65" s="17" t="str">
        <x:v>Contoh isi laporan setelah dibuka: laba rugi</x:v>
      </x:c>
      <x:c r="C65" s="17" t="str">
        <x:v>Contoh isi laporan setelah dibuka: laba rugi</x:v>
      </x:c>
      <x:c r="D65" s="17" t="str">
        <x:v>Contoh isi laporan setelah dibuka: laba rugi</x:v>
      </x:c>
      <x:c r="E65" s="17" t="str">
        <x:v>Contoh isi laporan setelah dibuka: laba rugi</x:v>
      </x:c>
      <x:c r="F65" s="17" t="str">
        <x:v>Contoh isi laporan setelah dibuka: laba rugi</x:v>
      </x:c>
      <x:c r="G65" s="17" t="str">
        <x:v>Contoh isi laporan setelah dibuka: laba rugi</x:v>
      </x:c>
      <x:c r="H65" s="17" t="str">
        <x:v>Contoh isi laporan setelah dibuka: laba rugi</x:v>
      </x:c>
    </x:row>
    <x:row r="66" ht="40" customHeight="1">
      <x:c r="A66" s="15" t="str">
        <x:v>Konteks</x:v>
      </x:c>
      <x:c r="B66" s="14" t="str">
        <x:v>Ilustrasi HO, September 2026 dibanding Agustus 2026. Pos dapat dibuka menjadi akun dan jurnal. Angka berdiri sendiri sebagai contoh bentuk laporan.</x:v>
      </x:c>
      <x:c r="C66" s="14"/>
      <x:c r="D66" s="14"/>
      <x:c r="E66" s="14"/>
      <x:c r="F66" s="14"/>
      <x:c r="G66" s="14"/>
      <x:c r="H66" s="14"/>
    </x:row>
    <x:row r="67" ht="36" customHeight="1">
      <x:c r="A67" s="10" t="str">
        <x:v>Pos laporan</x:v>
      </x:c>
      <x:c r="B67" s="10" t="str">
        <x:v>Periode ini Rp</x:v>
      </x:c>
      <x:c r="C67" s="10" t="str">
        <x:v>Pembanding Rp</x:v>
      </x:c>
      <x:c r="D67" s="10" t="str">
        <x:v>Selisih Rp</x:v>
      </x:c>
      <x:c r="E67" s="10" t="str">
        <x:v>Tingkat</x:v>
      </x:c>
      <x:c r="F67" s="10" t="str">
        <x:v>Sumber</x:v>
      </x:c>
      <x:c r="G67" s="10" t="str">
        <x:v>Tindakan</x:v>
      </x:c>
      <x:c r="H67" s="10" t="str">
        <x:v>Tampilan</x:v>
      </x:c>
    </x:row>
    <x:row r="68" ht="48" customHeight="1">
      <x:c r="A68" s="8" t="str">
        <x:v>Pendapatan</x:v>
      </x:c>
      <x:c r="B68" s="18" t="n">
        <x:v>100000000</x:v>
      </x:c>
      <x:c r="C68" s="18" t="n">
        <x:v>90000000</x:v>
      </x:c>
      <x:c r="D68" s="18" t="n">
        <x:f>B68-C68</x:f>
        <x:v>10000000</x:v>
      </x:c>
      <x:c r="E68" s="8" t="str">
        <x:v>Kelompok</x:v>
      </x:c>
      <x:c r="F68" s="8" t="str">
        <x:v>Buku besar</x:v>
      </x:c>
      <x:c r="G68" s="8" t="str">
        <x:v>Buka akun</x:v>
      </x:c>
      <x:c r="H68" s="8" t="str">
        <x:v>Dapat diperluas</x:v>
      </x:c>
    </x:row>
    <x:row r="69" ht="48" customHeight="1">
      <x:c r="A69" s="8" t="str">
        <x:v>Beban pokok</x:v>
      </x:c>
      <x:c r="B69" s="18" t="n">
        <x:v>60000000</x:v>
      </x:c>
      <x:c r="C69" s="18" t="n">
        <x:v>55000000</x:v>
      </x:c>
      <x:c r="D69" s="18" t="n">
        <x:f>B69-C69</x:f>
        <x:v>5000000</x:v>
      </x:c>
      <x:c r="E69" s="8" t="str">
        <x:v>Kelompok</x:v>
      </x:c>
      <x:c r="F69" s="8" t="str">
        <x:v>Buku besar</x:v>
      </x:c>
      <x:c r="G69" s="8" t="str">
        <x:v>Buka akun</x:v>
      </x:c>
      <x:c r="H69" s="8" t="str">
        <x:v>Dapat diperluas</x:v>
      </x:c>
    </x:row>
    <x:row r="70" ht="48" customHeight="1">
      <x:c r="A70" s="8" t="str">
        <x:v>Laba kotor</x:v>
      </x:c>
      <x:c r="B70" s="18" t="n">
        <x:f>B68-B69</x:f>
        <x:v>40000000</x:v>
      </x:c>
      <x:c r="C70" s="18" t="n">
        <x:f>C68-C69</x:f>
        <x:v>35000000</x:v>
      </x:c>
      <x:c r="D70" s="18" t="n">
        <x:f>B70-C70</x:f>
        <x:v>5000000</x:v>
      </x:c>
      <x:c r="E70" s="8" t="str">
        <x:v>Subtotal</x:v>
      </x:c>
      <x:c r="F70" s="8" t="str">
        <x:v>Pendapatan − beban pokok</x:v>
      </x:c>
      <x:c r="G70" s="8" t="str">
        <x:v>Lihat perhitungan</x:v>
      </x:c>
      <x:c r="H70" s="8" t="str">
        <x:v>Subtotal</x:v>
      </x:c>
    </x:row>
    <x:row r="71" ht="48" customHeight="1">
      <x:c r="A71" s="8" t="str">
        <x:v>Beban operasional</x:v>
      </x:c>
      <x:c r="B71" s="18" t="n">
        <x:v>20000000</x:v>
      </x:c>
      <x:c r="C71" s="18" t="n">
        <x:v>18000000</x:v>
      </x:c>
      <x:c r="D71" s="18" t="n">
        <x:f>B71-C71</x:f>
        <x:v>2000000</x:v>
      </x:c>
      <x:c r="E71" s="8" t="str">
        <x:v>Kelompok</x:v>
      </x:c>
      <x:c r="F71" s="8" t="str">
        <x:v>Buku besar</x:v>
      </x:c>
      <x:c r="G71" s="8" t="str">
        <x:v>Buka akun</x:v>
      </x:c>
      <x:c r="H71" s="8" t="str">
        <x:v>Dapat diperluas</x:v>
      </x:c>
    </x:row>
    <x:row r="72" ht="48" customHeight="1">
      <x:c r="A72" s="8" t="str">
        <x:v>Hasil contoh sebelum pos lain</x:v>
      </x:c>
      <x:c r="B72" s="18" t="n">
        <x:f>B70-B71</x:f>
        <x:v>20000000</x:v>
      </x:c>
      <x:c r="C72" s="18" t="n">
        <x:f>C70-C71</x:f>
        <x:v>17000000</x:v>
      </x:c>
      <x:c r="D72" s="18" t="n">
        <x:f>B72-C72</x:f>
        <x:v>3000000</x:v>
      </x:c>
      <x:c r="E72" s="8" t="str">
        <x:v>Subtotal</x:v>
      </x:c>
      <x:c r="F72" s="8" t="str">
        <x:v>Laba kotor − beban operasi</x:v>
      </x:c>
      <x:c r="G72" s="8" t="str">
        <x:v>Lihat perhitungan</x:v>
      </x:c>
      <x:c r="H72" s="8" t="str">
        <x:v>Ilustrasi ringkas</x:v>
      </x:c>
    </x:row>
    <x:row r="75" ht="28" customHeight="1">
      <x:c r="A75" s="27" t="str">
        <x:v>Detail sidebar, tombol, form dan tabel anak</x:v>
      </x:c>
      <x:c r="B75" s="27" t="str">
        <x:v>Detail sidebar, tombol, form dan tabel anak</x:v>
      </x:c>
      <x:c r="C75" s="27" t="str">
        <x:v>Detail sidebar, tombol, form dan tabel anak</x:v>
      </x:c>
      <x:c r="D75" s="27" t="str">
        <x:v>Detail sidebar, tombol, form dan tabel anak</x:v>
      </x:c>
      <x:c r="E75" s="27" t="str">
        <x:v>Detail sidebar, tombol, form dan tabel anak</x:v>
      </x:c>
      <x:c r="F75" s="27" t="str">
        <x:v>Detail sidebar, tombol, form dan tabel anak</x:v>
      </x:c>
      <x:c r="G75" s="27" t="str">
        <x:v>Detail sidebar, tombol, form dan tabel anak</x:v>
      </x:c>
      <x:c r="H75" s="27" t="str">
        <x:v>Detail sidebar, tombol, form dan tabel anak</x:v>
      </x:c>
    </x:row>
    <x:row r="76" ht="38" customHeight="1">
      <x:c r="A76" s="25" t="str">
        <x:v>Tab</x:v>
      </x:c>
      <x:c r="B76" s="25" t="str">
        <x:v>Sidebar detail</x:v>
      </x:c>
      <x:c r="C76" s="25" t="str">
        <x:v>Tombol</x:v>
      </x:c>
      <x:c r="D76" s="25" t="str">
        <x:v>Form</x:v>
      </x:c>
      <x:c r="E76" s="25" t="str">
        <x:v>Tabel anak</x:v>
      </x:c>
      <x:c r="F76" s="25" t="str">
        <x:v>Bentuk layar</x:v>
      </x:c>
    </x:row>
    <x:row r="77" ht="86" customHeight="1">
      <x:c r="A77" s="8" t="str">
        <x:v>Laporan keuangan</x:v>
      </x:c>
      <x:c r="B77" s="8" t="str">
        <x:v>Sheet 16: Laporan keuangan</x:v>
      </x:c>
      <x:c r="C77" s="8" t="str">
        <x:v>Sheet 17: Laporan keuangan</x:v>
      </x:c>
      <x:c r="D77" s="8" t="str">
        <x:v>F35; sheet 18–19</x:v>
      </x:c>
      <x:c r="E77" s="8" t="str">
        <x:v>S24; sheet 20–21</x:v>
      </x:c>
      <x:c r="F77" s="8" t="str">
        <x:v>Halaman laporan penuh; sidebar rincian pos</x:v>
      </x:c>
    </x:row>
    <x:row r="78" ht="86" customHeight="1">
      <x:c r="A78" s="8" t="str">
        <x:v>Buku besar &amp; neraca saldo</x:v>
      </x:c>
      <x:c r="B78" s="8" t="str">
        <x:v>Sheet 16: Buku besar &amp; neraca saldo</x:v>
      </x:c>
      <x:c r="C78" s="8" t="str">
        <x:v>Sheet 17: Buku besar &amp; neraca saldo</x:v>
      </x:c>
      <x:c r="D78" s="8" t="str">
        <x:v>F35; sheet 18–19</x:v>
      </x:c>
      <x:c r="E78" s="8" t="str">
        <x:v>S20; S24; sheet 20–21</x:v>
      </x:c>
      <x:c r="F78" s="8" t="str">
        <x:v>Halaman laporan; sidebar jurnal sumber</x:v>
      </x:c>
    </x:row>
    <x:row r="79" ht="86" customHeight="1">
      <x:c r="A79" s="8" t="str">
        <x:v>Operasional finance</x:v>
      </x:c>
      <x:c r="B79" s="8" t="str">
        <x:v>Sheet 16: Operasional finance</x:v>
      </x:c>
      <x:c r="C79" s="8" t="str">
        <x:v>Sheet 17: Operasional finance</x:v>
      </x:c>
      <x:c r="D79" s="8" t="str">
        <x:v>F35; sheet 18–19</x:v>
      </x:c>
      <x:c r="E79" s="8" t="str">
        <x:v>S03; S24; sheet 20–21</x:v>
      </x:c>
      <x:c r="F79" s="8" t="str">
        <x:v>Halaman laporan; sidebar dokumen sumber</x:v>
      </x:c>
    </x:row>
    <x:row r="80" ht="86" customHeight="1">
      <x:c r="A80" s="8" t="str">
        <x:v>Konsolidasi</x:v>
      </x:c>
      <x:c r="B80" s="8" t="str">
        <x:v>Sheet 16: Konsolidasi</x:v>
      </x:c>
      <x:c r="C80" s="8" t="str">
        <x:v>Sheet 17: Konsolidasi</x:v>
      </x:c>
      <x:c r="D80" s="8" t="str">
        <x:v>F35, F19; sheet 18–19</x:v>
      </x:c>
      <x:c r="E80" s="8" t="str">
        <x:v>S25; S24; sheet 20–21</x:v>
      </x:c>
      <x:c r="F80" s="8" t="str">
        <x:v>Halaman konsolidasi penuh; sidebar unit/eliminasi</x:v>
      </x:c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8:H18"/>
    <x:mergeCell ref="B19:H19"/>
    <x:mergeCell ref="B20:H20"/>
    <x:mergeCell ref="B21:H21"/>
    <x:mergeCell ref="B22:H22"/>
    <x:mergeCell ref="A25:H25"/>
    <x:mergeCell ref="B26:H26"/>
    <x:mergeCell ref="B27:H27"/>
    <x:mergeCell ref="B31:H31"/>
    <x:mergeCell ref="B32:H32"/>
    <x:mergeCell ref="B33:H33"/>
    <x:mergeCell ref="B34:H34"/>
    <x:mergeCell ref="B35:H35"/>
    <x:mergeCell ref="A38:H38"/>
    <x:mergeCell ref="B39:H39"/>
    <x:mergeCell ref="B40:H40"/>
    <x:mergeCell ref="B44:H44"/>
    <x:mergeCell ref="B45:H45"/>
    <x:mergeCell ref="B46:H46"/>
    <x:mergeCell ref="B47:H47"/>
    <x:mergeCell ref="B48:H48"/>
    <x:mergeCell ref="A51:H51"/>
    <x:mergeCell ref="B52:H52"/>
    <x:mergeCell ref="B53:H53"/>
    <x:mergeCell ref="B57:H57"/>
    <x:mergeCell ref="B58:H58"/>
    <x:mergeCell ref="B59:H59"/>
    <x:mergeCell ref="B60:H60"/>
    <x:mergeCell ref="B61:H61"/>
    <x:mergeCell ref="A65:H65"/>
    <x:mergeCell ref="B66:H66"/>
    <x:mergeCell ref="A75:H75"/>
  </x:mergeCells>
  <x:pageMargins left="0.7" right="0.7" top="0.75" bottom="0.75" header="0.3" footer="0.3"/>
  <x:tableParts count="6">
    <x:tablePart xmlns:r="http://schemas.openxmlformats.org/officeDocument/2006/relationships" r:id="Ra69ea12a81d04bc5"/>
    <x:tablePart xmlns:r="http://schemas.openxmlformats.org/officeDocument/2006/relationships" r:id="Rfcdb6bf26b9f4305"/>
    <x:tablePart xmlns:r="http://schemas.openxmlformats.org/officeDocument/2006/relationships" r:id="Rf5395ce36ba546d8"/>
    <x:tablePart xmlns:r="http://schemas.openxmlformats.org/officeDocument/2006/relationships" r:id="R552d96fdc2534235"/>
    <x:tablePart xmlns:r="http://schemas.openxmlformats.org/officeDocument/2006/relationships" r:id="R9bf5fde4fbe34ba8"/>
    <x:tablePart xmlns:r="http://schemas.openxmlformats.org/officeDocument/2006/relationships" r:id="Rc5724e1f0b134f10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Pengaturan Finance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Rancangan target. Data pada contoh tabel adalah ilustrasi. Tab pertama menjadi tampilan awal; tab tambahan tetap berada di dalam menu ini.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2" customHeight="1">
      <x:c r="A5" s="15" t="str">
        <x:v>Tujuan</x:v>
      </x:c>
      <x:c r="B5" s="14" t="str">
        <x:v>Memelihara master, aturan dan akses yang digunakan seluruh menu.</x:v>
      </x:c>
      <x:c r="C5" s="14"/>
      <x:c r="D5" s="14"/>
      <x:c r="E5" s="14"/>
      <x:c r="F5" s="14"/>
      <x:c r="G5" s="14"/>
      <x:c r="H5" s="14"/>
    </x:row>
    <x:row r="6" ht="32" customHeight="1">
      <x:c r="A6" s="15" t="str">
        <x:v>Penanggung jawab</x:v>
      </x:c>
      <x:c r="B6" s="14" t="str">
        <x:v>Admin finance dengan reviewer berwenang</x:v>
      </x:c>
      <x:c r="C6" s="14"/>
      <x:c r="D6" s="14"/>
      <x:c r="E6" s="14"/>
      <x:c r="F6" s="14"/>
      <x:c r="G6" s="14"/>
      <x:c r="H6" s="14"/>
    </x:row>
    <x:row r="7" ht="32" customHeight="1">
      <x:c r="A7" s="15" t="str">
        <x:v>Batas tanggung jawab</x:v>
      </x:c>
      <x:c r="B7" s="14" t="str">
        <x:v>Mengatur kebijakan dan master. Tidak menjadi tempat mencatat transaksi harian atau menampung akun yang belum jelas owner-nya.</x:v>
      </x:c>
      <x:c r="C7" s="14"/>
      <x:c r="D7" s="14"/>
      <x:c r="E7" s="14"/>
      <x:c r="F7" s="14"/>
      <x:c r="G7" s="14"/>
      <x:c r="H7" s="14"/>
    </x:row>
    <x:row r="8" ht="32" customHeight="1">
      <x:c r="A8" s="15" t="str">
        <x:v>Ringkasan di atas</x:v>
      </x:c>
      <x:c r="B8" s="14" t="str">
        <x:v>Master belum lengkap; pemetaan belum tersedia; perubahan menunggu review</x:v>
      </x:c>
      <x:c r="C8" s="14"/>
      <x:c r="D8" s="14"/>
      <x:c r="E8" s="14"/>
      <x:c r="F8" s="14"/>
      <x:c r="G8" s="14"/>
      <x:c r="H8" s="14"/>
    </x:row>
    <x:row r="9" ht="32" customHeight="1">
      <x:c r="A9" s="15" t="str">
        <x:v>Perlu penyesuaian</x:v>
      </x:c>
      <x:c r="B9" s="14" t="str">
        <x:v>Pisahkan akun aktif dan izin posting; jangan batasi pencarian COA pada 300 akun atau unit pada tiga pilihan.</x:v>
      </x:c>
      <x:c r="C9" s="14"/>
      <x:c r="D9" s="14"/>
      <x:c r="E9" s="14"/>
      <x:c r="F9" s="14"/>
      <x:c r="G9" s="14"/>
      <x:c r="H9" s="14"/>
    </x:row>
    <x:row r="11" ht="27" customHeight="1">
      <x:c r="A11" s="17" t="str">
        <x:v>1. COA — tab awal</x:v>
      </x:c>
      <x:c r="B11" s="17" t="str">
        <x:v>1. COA — tab awal</x:v>
      </x:c>
      <x:c r="C11" s="17" t="str">
        <x:v>1. COA — tab awal</x:v>
      </x:c>
      <x:c r="D11" s="17" t="str">
        <x:v>1. COA — tab awal</x:v>
      </x:c>
      <x:c r="E11" s="17" t="str">
        <x:v>1. COA — tab awal</x:v>
      </x:c>
      <x:c r="F11" s="17" t="str">
        <x:v>1. COA — tab awal</x:v>
      </x:c>
      <x:c r="G11" s="17" t="str">
        <x:v>1. COA — tab awal</x:v>
      </x:c>
      <x:c r="H11" s="17" t="str">
        <x:v>1. COA — tab awal</x:v>
      </x:c>
    </x:row>
    <x:row r="12" ht="32" customHeight="1">
      <x:c r="A12" s="15" t="str">
        <x:v>Tujuan tab</x:v>
      </x:c>
      <x:c r="B12" s="14" t="str">
        <x:v>Master seluruh akun dan klasifikasi pelaporannya.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Filter</x:v>
      </x:c>
      <x:c r="B13" s="14" t="str">
        <x:v>Cari seluruh kode/nama; level; aktif; unit; izin posting</x:v>
      </x:c>
      <x:c r="C13" s="14"/>
      <x:c r="D13" s="14"/>
      <x:c r="E13" s="14"/>
      <x:c r="F13" s="14"/>
      <x:c r="G13" s="14"/>
      <x:c r="H13" s="14"/>
    </x:row>
    <x:row r="14" ht="36" customHeight="1">
      <x:c r="A14" s="10" t="str">
        <x:v>Kode akun</x:v>
      </x:c>
      <x:c r="B14" s="10" t="str">
        <x:v>Nama akun</x:v>
      </x:c>
      <x:c r="C14" s="10" t="str">
        <x:v>Level</x:v>
      </x:c>
      <x:c r="D14" s="10" t="str">
        <x:v>Unit</x:v>
      </x:c>
      <x:c r="E14" s="10" t="str">
        <x:v>Aktif</x:v>
      </x:c>
      <x:c r="F14" s="10" t="str">
        <x:v>Izin posting</x:v>
      </x:c>
      <x:c r="G14" s="10" t="str">
        <x:v>Kelompok laporan</x:v>
      </x:c>
      <x:c r="H14" s="10" t="str">
        <x:v>Aksi</x:v>
      </x:c>
    </x:row>
    <x:row r="15" ht="48" customHeight="1">
      <x:c r="A15" s="20" t="str">
        <x:v>201200200200</x:v>
      </x:c>
      <x:c r="B15" s="8" t="str">
        <x:v>Outstanding Giro Bank Mandiri HO</x:v>
      </x:c>
      <x:c r="C15" s="8" t="n">
        <x:v>12</x:v>
      </x:c>
      <x:c r="D15" s="8" t="str">
        <x:v>HO</x:v>
      </x:c>
      <x:c r="E15" s="8" t="str">
        <x:v>Ya</x:v>
      </x:c>
      <x:c r="F15" s="8" t="str">
        <x:v>Perlu validasi kebijakan</x:v>
      </x:c>
      <x:c r="G15" s="8" t="str">
        <x:v>Kewajiban</x:v>
      </x:c>
      <x:c r="H15" s="8" t="str">
        <x:v>Lihat akun</x:v>
      </x:c>
    </x:row>
    <x:row r="17" ht="32" customHeight="1">
      <x:c r="A17" s="15" t="str">
        <x:v>Tombol / tindakan</x:v>
      </x:c>
      <x:c r="B17" s="14" t="str">
        <x:v>Cari; lihat penggunaan; ajukan perubahan master</x:v>
      </x:c>
      <x:c r="C17" s="14"/>
      <x:c r="D17" s="14"/>
      <x:c r="E17" s="14"/>
      <x:c r="F17" s="14"/>
      <x:c r="G17" s="14"/>
      <x:c r="H17" s="14"/>
    </x:row>
    <x:row r="18" ht="32" customHeight="1">
      <x:c r="A18" s="15" t="str">
        <x:v>Status dokumen</x:v>
      </x:c>
      <x:c r="B18" s="14" t="str">
        <x:v>Aktif; nonaktif; izin posting terpisah</x:v>
      </x:c>
      <x:c r="C18" s="14"/>
      <x:c r="D18" s="14"/>
      <x:c r="E18" s="14"/>
      <x:c r="F18" s="14"/>
      <x:c r="G18" s="14"/>
      <x:c r="H18" s="14"/>
    </x:row>
    <x:row r="19" ht="32" customHeight="1">
      <x:c r="A19" s="15" t="str">
        <x:v>Saat baris dibuka</x:v>
      </x:c>
      <x:c r="B19" s="14" t="str">
        <x:v>Hierarki, status, unit, pemetaan laporan, penggunaan rule dan riwayat perubahan. Tidak mengubah kode sumber tanpa keputusan.</x:v>
      </x:c>
      <x:c r="C19" s="14"/>
      <x:c r="D19" s="14"/>
      <x:c r="E19" s="14"/>
      <x:c r="F19" s="14"/>
      <x:c r="G19" s="14"/>
      <x:c r="H19" s="14"/>
    </x:row>
    <x:row r="20" ht="32" customHeight="1">
      <x:c r="A20" s="15" t="str">
        <x:v>Alur</x:v>
      </x:c>
      <x:c r="B20" s="14" t="str">
        <x:v>Master akun → validasi → pemetaan transaksi/laporan</x:v>
      </x:c>
      <x:c r="C20" s="14"/>
      <x:c r="D20" s="14"/>
      <x:c r="E20" s="14"/>
      <x:c r="F20" s="14"/>
      <x:c r="G20" s="14"/>
      <x:c r="H20" s="14"/>
    </x:row>
    <x:row r="21" ht="32" customHeight="1">
      <x:c r="A21" s="15" t="str">
        <x:v>Tampilan kosong</x:v>
      </x:c>
      <x:c r="B21" s="14" t="str">
        <x:v>Tampilkan “Belum ada data sesuai filter”, pilihan hapus filter, dan aksi membuat/mengambil data hanya bila pengguna berwenang.</x:v>
      </x:c>
      <x:c r="C21" s="14"/>
      <x:c r="D21" s="14"/>
      <x:c r="E21" s="14"/>
      <x:c r="F21" s="14"/>
      <x:c r="G21" s="14"/>
      <x:c r="H21" s="14"/>
    </x:row>
    <x:row r="24" ht="27" customHeight="1">
      <x:c r="A24" s="17" t="str">
        <x:v>2. Pemetaan transaksi</x:v>
      </x:c>
      <x:c r="B24" s="17" t="str">
        <x:v>2. Pemetaan transaksi</x:v>
      </x:c>
      <x:c r="C24" s="17" t="str">
        <x:v>2. Pemetaan transaksi</x:v>
      </x:c>
      <x:c r="D24" s="17" t="str">
        <x:v>2. Pemetaan transaksi</x:v>
      </x:c>
      <x:c r="E24" s="17" t="str">
        <x:v>2. Pemetaan transaksi</x:v>
      </x:c>
      <x:c r="F24" s="17" t="str">
        <x:v>2. Pemetaan transaksi</x:v>
      </x:c>
      <x:c r="G24" s="17" t="str">
        <x:v>2. Pemetaan transaksi</x:v>
      </x:c>
      <x:c r="H24" s="17" t="str">
        <x:v>2. Pemetaan transaksi</x:v>
      </x:c>
    </x:row>
    <x:row r="25" ht="32" customHeight="1">
      <x:c r="A25" s="15" t="str">
        <x:v>Tujuan tab</x:v>
      </x:c>
      <x:c r="B25" s="14" t="str">
        <x:v>Pemilihan akun berdasarkan kejadian dan dimensi bisnis.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Filter</x:v>
      </x:c>
      <x:c r="B26" s="14" t="str">
        <x:v>Kejadian; unit; bank; jenis; aktif/nonaktif</x:v>
      </x:c>
      <x:c r="C26" s="14"/>
      <x:c r="D26" s="14"/>
      <x:c r="E26" s="14"/>
      <x:c r="F26" s="14"/>
      <x:c r="G26" s="14"/>
      <x:c r="H26" s="14"/>
    </x:row>
    <x:row r="27" ht="36" customHeight="1">
      <x:c r="A27" s="10" t="str">
        <x:v>Kejadian</x:v>
      </x:c>
      <x:c r="B27" s="10" t="str">
        <x:v>Peran akun</x:v>
      </x:c>
      <x:c r="C27" s="10" t="str">
        <x:v>Unit</x:v>
      </x:c>
      <x:c r="D27" s="10" t="str">
        <x:v>Bank/jenis</x:v>
      </x:c>
      <x:c r="E27" s="10" t="str">
        <x:v>Akun tujuan</x:v>
      </x:c>
      <x:c r="F27" s="10" t="str">
        <x:v>Aktivasi</x:v>
      </x:c>
      <x:c r="G27" s="10" t="str">
        <x:v>Bukti uji</x:v>
      </x:c>
      <x:c r="H27" s="10" t="str">
        <x:v>Aksi</x:v>
      </x:c>
    </x:row>
    <x:row r="28" ht="48" customHeight="1">
      <x:c r="A28" s="8" t="str">
        <x:v>Penerbitan giro</x:v>
      </x:c>
      <x:c r="B28" s="8" t="str">
        <x:v>Outstanding giro</x:v>
      </x:c>
      <x:c r="C28" s="8" t="str">
        <x:v>HO</x:v>
      </x:c>
      <x:c r="D28" s="8" t="str">
        <x:v>Mandiri</x:v>
      </x:c>
      <x:c r="E28" s="20" t="str">
        <x:v>201200200200</x:v>
      </x:c>
      <x:c r="F28" s="8" t="str">
        <x:v>Usulan perbaikan</x:v>
      </x:c>
      <x:c r="G28" s="8" t="str">
        <x:v>Perlu uji ulang</x:v>
      </x:c>
      <x:c r="H28" s="8" t="str">
        <x:v>Review pemetaan</x:v>
      </x:c>
    </x:row>
    <x:row r="30" ht="32" customHeight="1">
      <x:c r="A30" s="15" t="str">
        <x:v>Tombol / tindakan</x:v>
      </x:c>
      <x:c r="B30" s="14" t="str">
        <x:v>Tinjau; simulasikan; ajukan; aktifkan setelah review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Status dokumen</x:v>
      </x:c>
      <x:c r="B31" s="14" t="str">
        <x:v>Draf; direview; aktif; nonaktif</x:v>
      </x:c>
      <x:c r="C31" s="14"/>
      <x:c r="D31" s="14"/>
      <x:c r="E31" s="14"/>
      <x:c r="F31" s="14"/>
      <x:c r="G31" s="14"/>
      <x:c r="H31" s="14"/>
    </x:row>
    <x:row r="32" ht="40" customHeight="1">
      <x:c r="A32" s="15" t="str">
        <x:v>Saat baris dibuka</x:v>
      </x:c>
      <x:c r="B32" s="14" t="str">
        <x:v>Prioritas resolusi, dimensi wajib, alasan nonaktif, contoh jurnal dan hasil uji. Rule nonaktif tidak diaktifkan hanya karena akun tersedia.</x:v>
      </x:c>
      <x:c r="C32" s="14"/>
      <x:c r="D32" s="14"/>
      <x:c r="E32" s="14"/>
      <x:c r="F32" s="14"/>
      <x:c r="G32" s="14"/>
      <x:c r="H32" s="14"/>
    </x:row>
    <x:row r="33" ht="32" customHeight="1">
      <x:c r="A33" s="15" t="str">
        <x:v>Alur</x:v>
      </x:c>
      <x:c r="B33" s="14" t="str">
        <x:v>Kejadian + unit + dimensi → akun yang tepat → uji → aktivasi</x:v>
      </x:c>
      <x:c r="C33" s="14"/>
      <x:c r="D33" s="14"/>
      <x:c r="E33" s="14"/>
      <x:c r="F33" s="14"/>
      <x:c r="G33" s="14"/>
      <x:c r="H33" s="14"/>
    </x:row>
    <x:row r="34" ht="32" customHeight="1">
      <x:c r="A34" s="15" t="str">
        <x:v>Tampilan kosong</x:v>
      </x:c>
      <x:c r="B34" s="14" t="str">
        <x:v>Tampilkan “Belum ada data sesuai filter”, pilihan hapus filter, dan aksi membuat/mengambil data hanya bila pengguna berwenang.</x:v>
      </x:c>
      <x:c r="C34" s="14"/>
      <x:c r="D34" s="14"/>
      <x:c r="E34" s="14"/>
      <x:c r="F34" s="14"/>
      <x:c r="G34" s="14"/>
      <x:c r="H34" s="14"/>
    </x:row>
    <x:row r="37" ht="27" customHeight="1">
      <x:c r="A37" s="17" t="str">
        <x:v>3. Rekening &amp; pihak</x:v>
      </x:c>
      <x:c r="B37" s="17" t="str">
        <x:v>3. Rekening &amp; pihak</x:v>
      </x:c>
      <x:c r="C37" s="17" t="str">
        <x:v>3. Rekening &amp; pihak</x:v>
      </x:c>
      <x:c r="D37" s="17" t="str">
        <x:v>3. Rekening &amp; pihak</x:v>
      </x:c>
      <x:c r="E37" s="17" t="str">
        <x:v>3. Rekening &amp; pihak</x:v>
      </x:c>
      <x:c r="F37" s="17" t="str">
        <x:v>3. Rekening &amp; pihak</x:v>
      </x:c>
      <x:c r="G37" s="17" t="str">
        <x:v>3. Rekening &amp; pihak</x:v>
      </x:c>
      <x:c r="H37" s="17" t="str">
        <x:v>3. Rekening &amp; pihak</x:v>
      </x:c>
    </x:row>
    <x:row r="38" ht="32" customHeight="1">
      <x:c r="A38" s="15" t="str">
        <x:v>Tujuan tab</x:v>
      </x:c>
      <x:c r="B38" s="14" t="str">
        <x:v>Master rekening, kas, vendor, pelanggan dan pihak lain.</x:v>
      </x:c>
      <x:c r="C38" s="14"/>
      <x:c r="D38" s="14"/>
      <x:c r="E38" s="14"/>
      <x:c r="F38" s="14"/>
      <x:c r="G38" s="14"/>
      <x:c r="H38" s="14"/>
    </x:row>
    <x:row r="39" ht="32" customHeight="1">
      <x:c r="A39" s="15" t="str">
        <x:v>Filter</x:v>
      </x:c>
      <x:c r="B39" s="14" t="str">
        <x:v>Jenis master; unit; aktif; kelengkapan</x:v>
      </x:c>
      <x:c r="C39" s="14"/>
      <x:c r="D39" s="14"/>
      <x:c r="E39" s="14"/>
      <x:c r="F39" s="14"/>
      <x:c r="G39" s="14"/>
      <x:c r="H39" s="14"/>
    </x:row>
    <x:row r="40" ht="36" customHeight="1">
      <x:c r="A40" s="10" t="str">
        <x:v>Master</x:v>
      </x:c>
      <x:c r="B40" s="10" t="str">
        <x:v>Kode</x:v>
      </x:c>
      <x:c r="C40" s="10" t="str">
        <x:v>Nama</x:v>
      </x:c>
      <x:c r="D40" s="10" t="str">
        <x:v>Unit</x:v>
      </x:c>
      <x:c r="E40" s="10" t="str">
        <x:v>Jenis</x:v>
      </x:c>
      <x:c r="F40" s="10" t="str">
        <x:v>Aktif</x:v>
      </x:c>
      <x:c r="G40" s="10" t="str">
        <x:v>Kelengkapan</x:v>
      </x:c>
      <x:c r="H40" s="10" t="str">
        <x:v>Aksi</x:v>
      </x:c>
    </x:row>
    <x:row r="41" ht="48" customHeight="1">
      <x:c r="A41" s="8" t="str">
        <x:v>Rekening</x:v>
      </x:c>
      <x:c r="B41" s="8" t="str">
        <x:v>BANK-HO-MDR</x:v>
      </x:c>
      <x:c r="C41" s="8" t="str">
        <x:v>Mandiri HO</x:v>
      </x:c>
      <x:c r="D41" s="8" t="str">
        <x:v>HO</x:v>
      </x:c>
      <x:c r="E41" s="8" t="str">
        <x:v>Bank</x:v>
      </x:c>
      <x:c r="F41" s="8" t="str">
        <x:v>Ya</x:v>
      </x:c>
      <x:c r="G41" s="8" t="str">
        <x:v>Pemetaan perlu review</x:v>
      </x:c>
      <x:c r="H41" s="8" t="str">
        <x:v>Buka master</x:v>
      </x:c>
    </x:row>
    <x:row r="43" ht="32" customHeight="1">
      <x:c r="A43" s="15" t="str">
        <x:v>Tombol / tindakan</x:v>
      </x:c>
      <x:c r="B43" s="14" t="str">
        <x:v>Tambah; review; nonaktifkan; lihat penggunaan</x:v>
      </x:c>
      <x:c r="C43" s="14"/>
      <x:c r="D43" s="14"/>
      <x:c r="E43" s="14"/>
      <x:c r="F43" s="14"/>
      <x:c r="G43" s="14"/>
      <x:c r="H43" s="14"/>
    </x:row>
    <x:row r="44" ht="32" customHeight="1">
      <x:c r="A44" s="15" t="str">
        <x:v>Status dokumen</x:v>
      </x:c>
      <x:c r="B44" s="14" t="str">
        <x:v>Draf; aktif; nonaktif</x:v>
      </x:c>
      <x:c r="C44" s="14"/>
      <x:c r="D44" s="14"/>
      <x:c r="E44" s="14"/>
      <x:c r="F44" s="14"/>
      <x:c r="G44" s="14"/>
      <x:c r="H44" s="14"/>
    </x:row>
    <x:row r="45" ht="40" customHeight="1">
      <x:c r="A45" s="15" t="str">
        <x:v>Saat baris dibuka</x:v>
      </x:c>
      <x:c r="B45" s="14" t="str">
        <x:v>Identitas dan data pembayaran sesuai akses; pihak dipakai lintas menu dengan satu ID. Tidak menampilkan nomor sensitif penuh di daftar.</x:v>
      </x:c>
      <x:c r="C45" s="14"/>
      <x:c r="D45" s="14"/>
      <x:c r="E45" s="14"/>
      <x:c r="F45" s="14"/>
      <x:c r="G45" s="14"/>
      <x:c r="H45" s="14"/>
    </x:row>
    <x:row r="46" ht="32" customHeight="1">
      <x:c r="A46" s="15" t="str">
        <x:v>Alur</x:v>
      </x:c>
      <x:c r="B46" s="14" t="str">
        <x:v>Master tunggal → transaksi domain terkait</x:v>
      </x:c>
      <x:c r="C46" s="14"/>
      <x:c r="D46" s="14"/>
      <x:c r="E46" s="14"/>
      <x:c r="F46" s="14"/>
      <x:c r="G46" s="14"/>
      <x:c r="H46" s="14"/>
    </x:row>
    <x:row r="47" ht="32" customHeight="1">
      <x:c r="A47" s="15" t="str">
        <x:v>Tampilan kosong</x:v>
      </x:c>
      <x:c r="B47" s="14" t="str">
        <x:v>Tampilkan “Belum ada data sesuai filter”, pilihan hapus filter, dan aksi membuat/mengambil data hanya bila pengguna berwenang.</x:v>
      </x:c>
      <x:c r="C47" s="14"/>
      <x:c r="D47" s="14"/>
      <x:c r="E47" s="14"/>
      <x:c r="F47" s="14"/>
      <x:c r="G47" s="14"/>
      <x:c r="H47" s="14"/>
    </x:row>
    <x:row r="50" ht="27" customHeight="1">
      <x:c r="A50" s="17" t="str">
        <x:v>4. Kebijakan &amp; jadwal</x:v>
      </x:c>
      <x:c r="B50" s="17" t="str">
        <x:v>4. Kebijakan &amp; jadwal</x:v>
      </x:c>
      <x:c r="C50" s="17" t="str">
        <x:v>4. Kebijakan &amp; jadwal</x:v>
      </x:c>
      <x:c r="D50" s="17" t="str">
        <x:v>4. Kebijakan &amp; jadwal</x:v>
      </x:c>
      <x:c r="E50" s="17" t="str">
        <x:v>4. Kebijakan &amp; jadwal</x:v>
      </x:c>
      <x:c r="F50" s="17" t="str">
        <x:v>4. Kebijakan &amp; jadwal</x:v>
      </x:c>
      <x:c r="G50" s="17" t="str">
        <x:v>4. Kebijakan &amp; jadwal</x:v>
      </x:c>
      <x:c r="H50" s="17" t="str">
        <x:v>4. Kebijakan &amp; jadwal</x:v>
      </x:c>
    </x:row>
    <x:row r="51" ht="32" customHeight="1">
      <x:c r="A51" s="15" t="str">
        <x:v>Tujuan tab</x:v>
      </x:c>
      <x:c r="B51" s="14" t="str">
        <x:v>Konfigurasi periode, jadwal dan kebijakan yang telah disetujui.</x:v>
      </x:c>
      <x:c r="C51" s="14"/>
      <x:c r="D51" s="14"/>
      <x:c r="E51" s="14"/>
      <x:c r="F51" s="14"/>
      <x:c r="G51" s="14"/>
      <x:c r="H51" s="14"/>
    </x:row>
    <x:row r="52" ht="32" customHeight="1">
      <x:c r="A52" s="15" t="str">
        <x:v>Filter</x:v>
      </x:c>
      <x:c r="B52" s="14" t="str">
        <x:v>Kategori; lingkup; masa berlaku; status</x:v>
      </x:c>
      <x:c r="C52" s="14"/>
      <x:c r="D52" s="14"/>
      <x:c r="E52" s="14"/>
      <x:c r="F52" s="14"/>
      <x:c r="G52" s="14"/>
      <x:c r="H52" s="14"/>
    </x:row>
    <x:row r="53" ht="36" customHeight="1">
      <x:c r="A53" s="10" t="str">
        <x:v>Kebijakan</x:v>
      </x:c>
      <x:c r="B53" s="10" t="str">
        <x:v>Lingkup</x:v>
      </x:c>
      <x:c r="C53" s="10" t="str">
        <x:v>Berlaku mulai</x:v>
      </x:c>
      <x:c r="D53" s="10" t="str">
        <x:v>Pemilik</x:v>
      </x:c>
      <x:c r="E53" s="10" t="str">
        <x:v>Versi</x:v>
      </x:c>
      <x:c r="F53" s="10" t="str">
        <x:v>Status</x:v>
      </x:c>
      <x:c r="G53" s="10" t="str">
        <x:v>Referensi</x:v>
      </x:c>
      <x:c r="H53" s="10" t="str">
        <x:v>Aksi</x:v>
      </x:c>
    </x:row>
    <x:row r="54" ht="48" customHeight="1">
      <x:c r="A54" s="8" t="str">
        <x:v>Penyusutan aset</x:v>
      </x:c>
      <x:c r="B54" s="8" t="str">
        <x:v>Kelas peralatan</x:v>
      </x:c>
      <x:c r="C54" s="19" t="n">
        <x:v>46266</x:v>
      </x:c>
      <x:c r="D54" s="8" t="str">
        <x:v>Akuntansi</x:v>
      </x:c>
      <x:c r="E54" s="8" t="str">
        <x:v>Draf 1</x:v>
      </x:c>
      <x:c r="F54" s="8" t="str">
        <x:v>Perlu keputusan</x:v>
      </x:c>
      <x:c r="G54" s="8" t="str">
        <x:v>Keputusan internal</x:v>
      </x:c>
      <x:c r="H54" s="8" t="str">
        <x:v>Review</x:v>
      </x:c>
    </x:row>
    <x:row r="56" ht="32" customHeight="1">
      <x:c r="A56" s="15" t="str">
        <x:v>Tombol / tindakan</x:v>
      </x:c>
      <x:c r="B56" s="14" t="str">
        <x:v>Ajukan perubahan; bandingkan versi; setujui</x:v>
      </x:c>
      <x:c r="C56" s="14"/>
      <x:c r="D56" s="14"/>
      <x:c r="E56" s="14"/>
      <x:c r="F56" s="14"/>
      <x:c r="G56" s="14"/>
      <x:c r="H56" s="14"/>
    </x:row>
    <x:row r="57" ht="32" customHeight="1">
      <x:c r="A57" s="15" t="str">
        <x:v>Status dokumen</x:v>
      </x:c>
      <x:c r="B57" s="14" t="str">
        <x:v>Draf; direview; berlaku; digantikan</x:v>
      </x:c>
      <x:c r="C57" s="14"/>
      <x:c r="D57" s="14"/>
      <x:c r="E57" s="14"/>
      <x:c r="F57" s="14"/>
      <x:c r="G57" s="14"/>
      <x:c r="H57" s="14"/>
    </x:row>
    <x:row r="58" ht="32" customHeight="1">
      <x:c r="A58" s="15" t="str">
        <x:v>Saat baris dibuka</x:v>
      </x:c>
      <x:c r="B58" s="14" t="str">
        <x:v>Nilai/parameter, dasar keputusan, masa berlaku, dampak ke jadwal aktif dan riwayat. Kalender pajak divalidasi pemilik kebijakan.</x:v>
      </x:c>
      <x:c r="C58" s="14"/>
      <x:c r="D58" s="14"/>
      <x:c r="E58" s="14"/>
      <x:c r="F58" s="14"/>
      <x:c r="G58" s="14"/>
      <x:c r="H58" s="14"/>
    </x:row>
    <x:row r="59" ht="32" customHeight="1">
      <x:c r="A59" s="15" t="str">
        <x:v>Alur</x:v>
      </x:c>
      <x:c r="B59" s="14" t="str">
        <x:v>Keputusan → versi kebijakan → jadwal dan kontrol</x:v>
      </x:c>
      <x:c r="C59" s="14"/>
      <x:c r="D59" s="14"/>
      <x:c r="E59" s="14"/>
      <x:c r="F59" s="14"/>
      <x:c r="G59" s="14"/>
      <x:c r="H59" s="14"/>
    </x:row>
    <x:row r="60" ht="32" customHeight="1">
      <x:c r="A60" s="15" t="str">
        <x:v>Tampilan kosong</x:v>
      </x:c>
      <x:c r="B60" s="14" t="str">
        <x:v>Tampilkan “Belum ada data sesuai filter”, pilihan hapus filter, dan aksi membuat/mengambil data hanya bila pengguna berwenang.</x:v>
      </x:c>
      <x:c r="C60" s="14"/>
      <x:c r="D60" s="14"/>
      <x:c r="E60" s="14"/>
      <x:c r="F60" s="14"/>
      <x:c r="G60" s="14"/>
      <x:c r="H60" s="14"/>
    </x:row>
    <x:row r="63" ht="27" customHeight="1">
      <x:c r="A63" s="17" t="str">
        <x:v>5. Akses &amp; persetujuan</x:v>
      </x:c>
      <x:c r="B63" s="17" t="str">
        <x:v>5. Akses &amp; persetujuan</x:v>
      </x:c>
      <x:c r="C63" s="17" t="str">
        <x:v>5. Akses &amp; persetujuan</x:v>
      </x:c>
      <x:c r="D63" s="17" t="str">
        <x:v>5. Akses &amp; persetujuan</x:v>
      </x:c>
      <x:c r="E63" s="17" t="str">
        <x:v>5. Akses &amp; persetujuan</x:v>
      </x:c>
      <x:c r="F63" s="17" t="str">
        <x:v>5. Akses &amp; persetujuan</x:v>
      </x:c>
      <x:c r="G63" s="17" t="str">
        <x:v>5. Akses &amp; persetujuan</x:v>
      </x:c>
      <x:c r="H63" s="17" t="str">
        <x:v>5. Akses &amp; persetujuan</x:v>
      </x:c>
    </x:row>
    <x:row r="64" ht="32" customHeight="1">
      <x:c r="A64" s="15" t="str">
        <x:v>Tujuan tab</x:v>
      </x:c>
      <x:c r="B64" s="14" t="str">
        <x:v>Hak menu, data unit dan otorisasi tindakan.</x:v>
      </x:c>
      <x:c r="C64" s="14"/>
      <x:c r="D64" s="14"/>
      <x:c r="E64" s="14"/>
      <x:c r="F64" s="14"/>
      <x:c r="G64" s="14"/>
      <x:c r="H64" s="14"/>
    </x:row>
    <x:row r="65" ht="32" customHeight="1">
      <x:c r="A65" s="15" t="str">
        <x:v>Filter</x:v>
      </x:c>
      <x:c r="B65" s="14" t="str">
        <x:v>Peran; menu; unit; status</x:v>
      </x:c>
      <x:c r="C65" s="14"/>
      <x:c r="D65" s="14"/>
      <x:c r="E65" s="14"/>
      <x:c r="F65" s="14"/>
      <x:c r="G65" s="14"/>
      <x:c r="H65" s="14"/>
    </x:row>
    <x:row r="66" ht="36" customHeight="1">
      <x:c r="A66" s="10" t="str">
        <x:v>Peran</x:v>
      </x:c>
      <x:c r="B66" s="10" t="str">
        <x:v>Menu</x:v>
      </x:c>
      <x:c r="C66" s="10" t="str">
        <x:v>Cakupan unit</x:v>
      </x:c>
      <x:c r="D66" s="10" t="str">
        <x:v>Lihat</x:v>
      </x:c>
      <x:c r="E66" s="10" t="str">
        <x:v>Buat</x:v>
      </x:c>
      <x:c r="F66" s="10" t="str">
        <x:v>Review</x:v>
      </x:c>
      <x:c r="G66" s="10" t="str">
        <x:v>Eksekusi</x:v>
      </x:c>
      <x:c r="H66" s="10" t="str">
        <x:v>Status</x:v>
      </x:c>
    </x:row>
    <x:row r="67" ht="48" customHeight="1">
      <x:c r="A67" s="8" t="str">
        <x:v>AP</x:v>
      </x:c>
      <x:c r="B67" s="8" t="str">
        <x:v>Tagihan &amp; Pengeluaran</x:v>
      </x:c>
      <x:c r="C67" s="8" t="str">
        <x:v>Unit ditugaskan</x:v>
      </x:c>
      <x:c r="D67" s="8" t="str">
        <x:v>Ya</x:v>
      </x:c>
      <x:c r="E67" s="8" t="str">
        <x:v>Ya</x:v>
      </x:c>
      <x:c r="F67" s="8" t="str">
        <x:v>Sesuai mandat</x:v>
      </x:c>
      <x:c r="G67" s="8" t="str">
        <x:v>Tidak</x:v>
      </x:c>
      <x:c r="H67" s="8" t="str">
        <x:v>Usulan</x:v>
      </x:c>
    </x:row>
    <x:row r="69" ht="32" customHeight="1">
      <x:c r="A69" s="15" t="str">
        <x:v>Tombol / tindakan</x:v>
      </x:c>
      <x:c r="B69" s="14" t="str">
        <x:v>Tinjau akses; ajukan perubahan; tetapkan reviewer</x:v>
      </x:c>
      <x:c r="C69" s="14"/>
      <x:c r="D69" s="14"/>
      <x:c r="E69" s="14"/>
      <x:c r="F69" s="14"/>
      <x:c r="G69" s="14"/>
      <x:c r="H69" s="14"/>
    </x:row>
    <x:row r="70" ht="32" customHeight="1">
      <x:c r="A70" s="15" t="str">
        <x:v>Status dokumen</x:v>
      </x:c>
      <x:c r="B70" s="14" t="str">
        <x:v>Usulan; disetujui; aktif; dicabut</x:v>
      </x:c>
      <x:c r="C70" s="14"/>
      <x:c r="D70" s="14"/>
      <x:c r="E70" s="14"/>
      <x:c r="F70" s="14"/>
      <x:c r="G70" s="14"/>
      <x:c r="H70" s="14"/>
    </x:row>
    <x:row r="71" ht="32" customHeight="1">
      <x:c r="A71" s="15" t="str">
        <x:v>Saat baris dibuka</x:v>
      </x:c>
      <x:c r="B71" s="14" t="str">
        <x:v>Hak melihat nominal/pegawai, tindakan, batas mandat dan pemisahan pengaju/reviewer sesuai kebijakan perusahaan.</x:v>
      </x:c>
      <x:c r="C71" s="14"/>
      <x:c r="D71" s="14"/>
      <x:c r="E71" s="14"/>
      <x:c r="F71" s="14"/>
      <x:c r="G71" s="14"/>
      <x:c r="H71" s="14"/>
    </x:row>
    <x:row r="72" ht="32" customHeight="1">
      <x:c r="A72" s="15" t="str">
        <x:v>Alur</x:v>
      </x:c>
      <x:c r="B72" s="14" t="str">
        <x:v>Peran + unit + mandat → tindakan yang tersedia</x:v>
      </x:c>
      <x:c r="C72" s="14"/>
      <x:c r="D72" s="14"/>
      <x:c r="E72" s="14"/>
      <x:c r="F72" s="14"/>
      <x:c r="G72" s="14"/>
      <x:c r="H72" s="14"/>
    </x:row>
    <x:row r="73" ht="32" customHeight="1">
      <x:c r="A73" s="15" t="str">
        <x:v>Tampilan kosong</x:v>
      </x:c>
      <x:c r="B73" s="14" t="str">
        <x:v>Tampilkan “Belum ada data sesuai filter”, pilihan hapus filter, dan aksi membuat/mengambil data hanya bila pengguna berwenang.</x:v>
      </x:c>
      <x:c r="C73" s="14"/>
      <x:c r="D73" s="14"/>
      <x:c r="E73" s="14"/>
      <x:c r="F73" s="14"/>
      <x:c r="G73" s="14"/>
      <x:c r="H73" s="14"/>
    </x:row>
    <x:row r="76" ht="27" customHeight="1">
      <x:c r="A76" s="17" t="str">
        <x:v>6. Riwayat perubahan</x:v>
      </x:c>
      <x:c r="B76" s="17" t="str">
        <x:v>6. Riwayat perubahan</x:v>
      </x:c>
      <x:c r="C76" s="17" t="str">
        <x:v>6. Riwayat perubahan</x:v>
      </x:c>
      <x:c r="D76" s="17" t="str">
        <x:v>6. Riwayat perubahan</x:v>
      </x:c>
      <x:c r="E76" s="17" t="str">
        <x:v>6. Riwayat perubahan</x:v>
      </x:c>
      <x:c r="F76" s="17" t="str">
        <x:v>6. Riwayat perubahan</x:v>
      </x:c>
      <x:c r="G76" s="17" t="str">
        <x:v>6. Riwayat perubahan</x:v>
      </x:c>
      <x:c r="H76" s="17" t="str">
        <x:v>6. Riwayat perubahan</x:v>
      </x:c>
    </x:row>
    <x:row r="77" ht="32" customHeight="1">
      <x:c r="A77" s="15" t="str">
        <x:v>Tujuan tab</x:v>
      </x:c>
      <x:c r="B77" s="14" t="str">
        <x:v>Audit perubahan master dan aturan lintas finance.</x:v>
      </x:c>
      <x:c r="C77" s="14"/>
      <x:c r="D77" s="14"/>
      <x:c r="E77" s="14"/>
      <x:c r="F77" s="14"/>
      <x:c r="G77" s="14"/>
      <x:c r="H77" s="14"/>
    </x:row>
    <x:row r="78" ht="32" customHeight="1">
      <x:c r="A78" s="15" t="str">
        <x:v>Filter</x:v>
      </x:c>
      <x:c r="B78" s="14" t="str">
        <x:v>Tanggal; pelaku; objek; menu</x:v>
      </x:c>
      <x:c r="C78" s="14"/>
      <x:c r="D78" s="14"/>
      <x:c r="E78" s="14"/>
      <x:c r="F78" s="14"/>
      <x:c r="G78" s="14"/>
      <x:c r="H78" s="14"/>
    </x:row>
    <x:row r="79" ht="36" customHeight="1">
      <x:c r="A79" s="10" t="str">
        <x:v>Perubahan</x:v>
      </x:c>
      <x:c r="B79" s="10" t="str">
        <x:v>Waktu</x:v>
      </x:c>
      <x:c r="C79" s="10" t="str">
        <x:v>Pelaku</x:v>
      </x:c>
      <x:c r="D79" s="10" t="str">
        <x:v>Objek</x:v>
      </x:c>
      <x:c r="E79" s="10" t="str">
        <x:v>Sebelum</x:v>
      </x:c>
      <x:c r="F79" s="10" t="str">
        <x:v>Sesudah</x:v>
      </x:c>
      <x:c r="G79" s="10" t="str">
        <x:v>Alasan</x:v>
      </x:c>
      <x:c r="H79" s="10" t="str">
        <x:v>Referensi</x:v>
      </x:c>
    </x:row>
    <x:row r="80" ht="48" customHeight="1">
      <x:c r="A80" s="8" t="str">
        <x:v>AUD-001</x:v>
      </x:c>
      <x:c r="B80" s="19" t="n">
        <x:v>46276</x:v>
      </x:c>
      <x:c r="C80" s="8" t="str">
        <x:v>Admin finance</x:v>
      </x:c>
      <x:c r="D80" s="8" t="str">
        <x:v>Pemetaan giro Mandiri</x:v>
      </x:c>
      <x:c r="E80" s="8" t="str">
        <x:v>Akun BCA</x:v>
      </x:c>
      <x:c r="F80" s="8" t="str">
        <x:v>Akun Mandiri</x:v>
      </x:c>
      <x:c r="G80" s="8" t="str">
        <x:v>Koreksi bank</x:v>
      </x:c>
      <x:c r="H80" s="8" t="str">
        <x:v>REQ-001</x:v>
      </x:c>
    </x:row>
    <x:row r="82" ht="32" customHeight="1">
      <x:c r="A82" s="15" t="str">
        <x:v>Tombol / tindakan</x:v>
      </x:c>
      <x:c r="B82" s="14" t="str">
        <x:v>Buka perbandingan; lihat persetujuan</x:v>
      </x:c>
      <x:c r="C82" s="14"/>
      <x:c r="D82" s="14"/>
      <x:c r="E82" s="14"/>
      <x:c r="F82" s="14"/>
      <x:c r="G82" s="14"/>
      <x:c r="H82" s="14"/>
    </x:row>
    <x:row r="83" ht="32" customHeight="1">
      <x:c r="A83" s="15" t="str">
        <x:v>Status dokumen</x:v>
      </x:c>
      <x:c r="B83" s="14" t="str">
        <x:v>Dicatat; tidak dapat diedit dari daftar</x:v>
      </x:c>
      <x:c r="C83" s="14"/>
      <x:c r="D83" s="14"/>
      <x:c r="E83" s="14"/>
      <x:c r="F83" s="14"/>
      <x:c r="G83" s="14"/>
      <x:c r="H83" s="14"/>
    </x:row>
    <x:row r="84" ht="32" customHeight="1">
      <x:c r="A84" s="15" t="str">
        <x:v>Saat baris dibuka</x:v>
      </x:c>
      <x:c r="B84" s="14" t="str">
        <x:v>Versi sebelum/sesudah, pemohon, reviewer, waktu, alasan dan transaksi terdampak. Contoh perubahan ini belum diterapkan.</x:v>
      </x:c>
      <x:c r="C84" s="14"/>
      <x:c r="D84" s="14"/>
      <x:c r="E84" s="14"/>
      <x:c r="F84" s="14"/>
      <x:c r="G84" s="14"/>
      <x:c r="H84" s="14"/>
    </x:row>
    <x:row r="85" ht="32" customHeight="1">
      <x:c r="A85" s="15" t="str">
        <x:v>Alur</x:v>
      </x:c>
      <x:c r="B85" s="14" t="str">
        <x:v>Perubahan disetujui → riwayat → telusuri dampak</x:v>
      </x:c>
      <x:c r="C85" s="14"/>
      <x:c r="D85" s="14"/>
      <x:c r="E85" s="14"/>
      <x:c r="F85" s="14"/>
      <x:c r="G85" s="14"/>
      <x:c r="H85" s="14"/>
    </x:row>
    <x:row r="86" ht="32" customHeight="1">
      <x:c r="A86" s="15" t="str">
        <x:v>Tampilan kosong</x:v>
      </x:c>
      <x:c r="B86" s="14" t="str">
        <x:v>Tampilkan “Belum ada data sesuai filter”, pilihan hapus filter, dan aksi membuat/mengambil data hanya bila pengguna berwenang.</x:v>
      </x:c>
      <x:c r="C86" s="14"/>
      <x:c r="D86" s="14"/>
      <x:c r="E86" s="14"/>
      <x:c r="F86" s="14"/>
      <x:c r="G86" s="14"/>
      <x:c r="H86" s="14"/>
    </x:row>
    <x:row r="89" ht="28" customHeight="1">
      <x:c r="A89" s="27" t="str">
        <x:v>Detail sidebar, tombol, form dan tabel anak</x:v>
      </x:c>
      <x:c r="B89" s="27" t="str">
        <x:v>Detail sidebar, tombol, form dan tabel anak</x:v>
      </x:c>
      <x:c r="C89" s="27" t="str">
        <x:v>Detail sidebar, tombol, form dan tabel anak</x:v>
      </x:c>
      <x:c r="D89" s="27" t="str">
        <x:v>Detail sidebar, tombol, form dan tabel anak</x:v>
      </x:c>
      <x:c r="E89" s="27" t="str">
        <x:v>Detail sidebar, tombol, form dan tabel anak</x:v>
      </x:c>
      <x:c r="F89" s="27" t="str">
        <x:v>Detail sidebar, tombol, form dan tabel anak</x:v>
      </x:c>
      <x:c r="G89" s="27" t="str">
        <x:v>Detail sidebar, tombol, form dan tabel anak</x:v>
      </x:c>
      <x:c r="H89" s="27" t="str">
        <x:v>Detail sidebar, tombol, form dan tabel anak</x:v>
      </x:c>
    </x:row>
    <x:row r="90" ht="38" customHeight="1">
      <x:c r="A90" s="25" t="str">
        <x:v>Tab</x:v>
      </x:c>
      <x:c r="B90" s="25" t="str">
        <x:v>Sidebar detail</x:v>
      </x:c>
      <x:c r="C90" s="25" t="str">
        <x:v>Tombol</x:v>
      </x:c>
      <x:c r="D90" s="25" t="str">
        <x:v>Form</x:v>
      </x:c>
      <x:c r="E90" s="25" t="str">
        <x:v>Tabel anak</x:v>
      </x:c>
      <x:c r="F90" s="25" t="str">
        <x:v>Bentuk layar</x:v>
      </x:c>
    </x:row>
    <x:row r="91" ht="86" customHeight="1">
      <x:c r="A91" s="8" t="str">
        <x:v>COA</x:v>
      </x:c>
      <x:c r="B91" s="8" t="str">
        <x:v>Sheet 16: COA</x:v>
      </x:c>
      <x:c r="C91" s="8" t="str">
        <x:v>Sheet 17: COA</x:v>
      </x:c>
      <x:c r="D91" s="8" t="str">
        <x:v>F31, F01; sheet 18–19</x:v>
      </x:c>
      <x:c r="E91" s="8" t="str">
        <x:v>S22; sheet 20–21</x:v>
      </x:c>
      <x:c r="F91" s="8" t="str">
        <x:v>Sidebar detail; form sebagai mode terpisah</x:v>
      </x:c>
    </x:row>
    <x:row r="92" ht="86" customHeight="1">
      <x:c r="A92" s="8" t="str">
        <x:v>Pemetaan transaksi</x:v>
      </x:c>
      <x:c r="B92" s="8" t="str">
        <x:v>Sheet 16: Pemetaan transaksi</x:v>
      </x:c>
      <x:c r="C92" s="8" t="str">
        <x:v>Sheet 17: Pemetaan transaksi</x:v>
      </x:c>
      <x:c r="D92" s="8" t="str">
        <x:v>F32, F01; sheet 18–19</x:v>
      </x:c>
      <x:c r="E92" s="8" t="str">
        <x:v>S22; S20; sheet 20–21</x:v>
      </x:c>
      <x:c r="F92" s="8" t="str">
        <x:v>Sidebar detail; form sebagai mode terpisah</x:v>
      </x:c>
    </x:row>
    <x:row r="93" ht="86" customHeight="1">
      <x:c r="A93" s="8" t="str">
        <x:v>Rekening &amp; pihak</x:v>
      </x:c>
      <x:c r="B93" s="8" t="str">
        <x:v>Sheet 16: Rekening &amp; pihak</x:v>
      </x:c>
      <x:c r="C93" s="8" t="str">
        <x:v>Sheet 17: Rekening &amp; pihak</x:v>
      </x:c>
      <x:c r="D93" s="8" t="str">
        <x:v>F33, F01; sheet 18–19</x:v>
      </x:c>
      <x:c r="E93" s="8" t="str">
        <x:v>S22; sheet 20–21</x:v>
      </x:c>
      <x:c r="F93" s="8" t="str">
        <x:v>Sidebar detail; form sebagai mode terpisah</x:v>
      </x:c>
    </x:row>
    <x:row r="94" ht="86" customHeight="1">
      <x:c r="A94" s="8" t="str">
        <x:v>Kebijakan &amp; jadwal</x:v>
      </x:c>
      <x:c r="B94" s="8" t="str">
        <x:v>Sheet 16: Kebijakan &amp; jadwal</x:v>
      </x:c>
      <x:c r="C94" s="8" t="str">
        <x:v>Sheet 17: Kebijakan &amp; jadwal</x:v>
      </x:c>
      <x:c r="D94" s="8" t="str">
        <x:v>F34, F01; sheet 18–19</x:v>
      </x:c>
      <x:c r="E94" s="8" t="str">
        <x:v>S22; S09; sheet 20–21</x:v>
      </x:c>
      <x:c r="F94" s="8" t="str">
        <x:v>Sidebar detail; form sebagai mode terpisah</x:v>
      </x:c>
    </x:row>
    <x:row r="95" ht="86" customHeight="1">
      <x:c r="A95" s="8" t="str">
        <x:v>Akses &amp; persetujuan</x:v>
      </x:c>
      <x:c r="B95" s="8" t="str">
        <x:v>Sheet 16: Akses &amp; persetujuan</x:v>
      </x:c>
      <x:c r="C95" s="8" t="str">
        <x:v>Sheet 17: Akses &amp; persetujuan</x:v>
      </x:c>
      <x:c r="D95" s="8" t="str">
        <x:v>F34, F01; sheet 18–19</x:v>
      </x:c>
      <x:c r="E95" s="8" t="str">
        <x:v>S22; sheet 20–21</x:v>
      </x:c>
      <x:c r="F95" s="8" t="str">
        <x:v>Sidebar detail; form sebagai mode terpisah</x:v>
      </x:c>
    </x:row>
    <x:row r="96" ht="86" customHeight="1">
      <x:c r="A96" s="8" t="str">
        <x:v>Riwayat perubahan</x:v>
      </x:c>
      <x:c r="B96" s="8" t="str">
        <x:v>Sheet 16: Riwayat perubahan</x:v>
      </x:c>
      <x:c r="C96" s="8" t="str">
        <x:v>Sheet 17: Riwayat perubahan</x:v>
      </x:c>
      <x:c r="D96" s="8" t="str">
        <x:v>—; sheet 18–19</x:v>
      </x:c>
      <x:c r="E96" s="8" t="str">
        <x:v>S02; S22; sheet 20–21</x:v>
      </x:c>
      <x:c r="F96" s="8" t="str">
        <x:v>Sidebar detail; form sebagai mode terpisah</x:v>
      </x:c>
    </x:row>
  </x:sheetData>
  <x:mergeCells>
    <x:mergeCell ref="A1:H1"/>
    <x:mergeCell ref="A2:H3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7:H17"/>
    <x:mergeCell ref="B18:H18"/>
    <x:mergeCell ref="B19:H19"/>
    <x:mergeCell ref="B20:H20"/>
    <x:mergeCell ref="B21:H21"/>
    <x:mergeCell ref="A24:H24"/>
    <x:mergeCell ref="B25:H25"/>
    <x:mergeCell ref="B26:H26"/>
    <x:mergeCell ref="B30:H30"/>
    <x:mergeCell ref="B31:H31"/>
    <x:mergeCell ref="B32:H32"/>
    <x:mergeCell ref="B33:H33"/>
    <x:mergeCell ref="B34:H34"/>
    <x:mergeCell ref="A37:H37"/>
    <x:mergeCell ref="B38:H38"/>
    <x:mergeCell ref="B39:H39"/>
    <x:mergeCell ref="B43:H43"/>
    <x:mergeCell ref="B44:H44"/>
    <x:mergeCell ref="B45:H45"/>
    <x:mergeCell ref="B46:H46"/>
    <x:mergeCell ref="B47:H47"/>
    <x:mergeCell ref="A50:H50"/>
    <x:mergeCell ref="B51:H51"/>
    <x:mergeCell ref="B52:H52"/>
    <x:mergeCell ref="B56:H56"/>
    <x:mergeCell ref="B57:H57"/>
    <x:mergeCell ref="B58:H58"/>
    <x:mergeCell ref="B59:H59"/>
    <x:mergeCell ref="B60:H60"/>
    <x:mergeCell ref="A63:H63"/>
    <x:mergeCell ref="B64:H64"/>
    <x:mergeCell ref="B65:H65"/>
    <x:mergeCell ref="B69:H69"/>
    <x:mergeCell ref="B70:H70"/>
    <x:mergeCell ref="B71:H71"/>
    <x:mergeCell ref="B72:H72"/>
    <x:mergeCell ref="B73:H73"/>
    <x:mergeCell ref="A76:H76"/>
    <x:mergeCell ref="B77:H77"/>
    <x:mergeCell ref="B78:H78"/>
    <x:mergeCell ref="B82:H82"/>
    <x:mergeCell ref="B83:H83"/>
    <x:mergeCell ref="B84:H84"/>
    <x:mergeCell ref="B85:H85"/>
    <x:mergeCell ref="B86:H86"/>
    <x:mergeCell ref="A89:H89"/>
  </x:mergeCells>
  <x:pageMargins left="0.7" right="0.7" top="0.75" bottom="0.75" header="0.3" footer="0.3"/>
  <x:tableParts count="7">
    <x:tablePart xmlns:r="http://schemas.openxmlformats.org/officeDocument/2006/relationships" r:id="Rd830cc33de324661"/>
    <x:tablePart xmlns:r="http://schemas.openxmlformats.org/officeDocument/2006/relationships" r:id="Rb96ba2f67ad74eca"/>
    <x:tablePart xmlns:r="http://schemas.openxmlformats.org/officeDocument/2006/relationships" r:id="R77e717780ee54e59"/>
    <x:tablePart xmlns:r="http://schemas.openxmlformats.org/officeDocument/2006/relationships" r:id="Rf018ee5930a04e05"/>
    <x:tablePart xmlns:r="http://schemas.openxmlformats.org/officeDocument/2006/relationships" r:id="R84167d729bd34453"/>
    <x:tablePart xmlns:r="http://schemas.openxmlformats.org/officeDocument/2006/relationships" r:id="R06df1e998e714c1a"/>
    <x:tablePart xmlns:r="http://schemas.openxmlformats.org/officeDocument/2006/relationships" r:id="R690adee677f54b5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Alur harian dan bisnis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Rujukan implementasi: setiap perpindahan antarmenu membawa identitas dokumen sumber. Satu dokumen dapat terlihat di beberapa menu tanpa dibuat ulang.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6" customHeight="1">
      <x:c r="A5" s="10" t="str">
        <x:v>Urutan</x:v>
      </x:c>
      <x:c r="B5" s="10" t="str">
        <x:v>Waktu / pemicu</x:v>
      </x:c>
      <x:c r="C5" s="10" t="str">
        <x:v>Pekerjaan</x:v>
      </x:c>
      <x:c r="D5" s="10" t="str">
        <x:v>Menu masuk</x:v>
      </x:c>
      <x:c r="E5" s="10" t="str">
        <x:v>Tab</x:v>
      </x:c>
      <x:c r="F5" s="10" t="str">
        <x:v>Hasil yang diharapkan</x:v>
      </x:c>
      <x:c r="G5" s="10" t="str">
        <x:v>Menu lanjutan</x:v>
      </x:c>
      <x:c r="H5" s="10" t="str">
        <x:v>Kontrol utama</x:v>
      </x:c>
    </x:row>
    <x:row r="6" ht="80" customHeight="1">
      <x:c r="A6" s="8" t="n">
        <x:v>1</x:v>
      </x:c>
      <x:c r="B6" s="8" t="str">
        <x:v>Awal hari</x:v>
      </x:c>
      <x:c r="C6" s="8" t="str">
        <x:v>Tinjau prioritas</x:v>
      </x:c>
      <x:c r="D6" s="8" t="str">
        <x:v>Ringkasan</x:v>
      </x:c>
      <x:c r="E6" s="8" t="str">
        <x:v>Hari ini</x:v>
      </x:c>
      <x:c r="F6" s="8" t="str">
        <x:v>Pekerjaan ditugaskan</x:v>
      </x:c>
      <x:c r="G6" s="8" t="str">
        <x:v>Menu sumber</x:v>
      </x:c>
      <x:c r="H6" s="8" t="str">
        <x:v>Antrean sesuai unit dan akses</x:v>
      </x:c>
    </x:row>
    <x:row r="7" ht="80" customHeight="1">
      <x:c r="A7" s="8" t="n">
        <x:v>2</x:v>
      </x:c>
      <x:c r="B7" s="8" t="str">
        <x:v>Awal hari</x:v>
      </x:c>
      <x:c r="C7" s="8" t="str">
        <x:v>Cocokkan bank kemarin</x:v>
      </x:c>
      <x:c r="D7" s="8" t="str">
        <x:v>Kas &amp; Bank</x:v>
      </x:c>
      <x:c r="E7" s="8" t="str">
        <x:v>Rekonsiliasi</x:v>
      </x:c>
      <x:c r="F7" s="8" t="str">
        <x:v>Mutasi cocok / selisih ditangani</x:v>
      </x:c>
      <x:c r="G7" s="8" t="str">
        <x:v>Sumber transaksi</x:v>
      </x:c>
      <x:c r="H7" s="8" t="str">
        <x:v>Pembayaran tidak dibuat ganda</x:v>
      </x:c>
    </x:row>
    <x:row r="8" ht="80" customHeight="1">
      <x:c r="A8" s="8" t="n">
        <x:v>3</x:v>
      </x:c>
      <x:c r="B8" s="8" t="str">
        <x:v>Sepanjang hari</x:v>
      </x:c>
      <x:c r="C8" s="8" t="str">
        <x:v>Review tagihan dan klaim</x:v>
      </x:c>
      <x:c r="D8" s="8" t="str">
        <x:v>Tagihan &amp; Pengeluaran</x:v>
      </x:c>
      <x:c r="E8" s="8" t="str">
        <x:v>Tagihan; Klaim &amp; pengeluaran</x:v>
      </x:c>
      <x:c r="F8" s="8" t="str">
        <x:v>Kewajiban disetujui</x:v>
      </x:c>
      <x:c r="G8" s="8" t="str">
        <x:v>Kas &amp; Bank</x:v>
      </x:c>
      <x:c r="H8" s="8" t="str">
        <x:v>Bukti, vendor dan jenis biaya benar</x:v>
      </x:c>
    </x:row>
    <x:row r="9" ht="80" customHeight="1">
      <x:c r="A9" s="8" t="n">
        <x:v>4</x:v>
      </x:c>
      <x:c r="B9" s="8" t="str">
        <x:v>Sepanjang hari</x:v>
      </x:c>
      <x:c r="C9" s="8" t="str">
        <x:v>Cocokkan pendapatan dan settlement</x:v>
      </x:c>
      <x:c r="D9" s="8" t="str">
        <x:v>Penjualan &amp; Piutang</x:v>
      </x:c>
      <x:c r="E9" s="8" t="str">
        <x:v>Penjualan; Settlement kanal</x:v>
      </x:c>
      <x:c r="F9" s="8" t="str">
        <x:v>Penerimaan teralokasi</x:v>
      </x:c>
      <x:c r="G9" s="8" t="str">
        <x:v>Kas &amp; Bank</x:v>
      </x:c>
      <x:c r="H9" s="8" t="str">
        <x:v>Biaya kanal melekat pada settlement</x:v>
      </x:c>
    </x:row>
    <x:row r="10" ht="80" customHeight="1">
      <x:c r="A10" s="8" t="n">
        <x:v>5</x:v>
      </x:c>
      <x:c r="B10" s="8" t="str">
        <x:v>Sesuai jatuh tempo</x:v>
      </x:c>
      <x:c r="C10" s="8" t="str">
        <x:v>Eksekusi pembayaran</x:v>
      </x:c>
      <x:c r="D10" s="8" t="str">
        <x:v>Kas &amp; Bank</x:v>
      </x:c>
      <x:c r="E10" s="8" t="str">
        <x:v>Pembayaran &amp; penerimaan; Giro</x:v>
      </x:c>
      <x:c r="F10" s="8" t="str">
        <x:v>Bukti bayar dan alokasi</x:v>
      </x:c>
      <x:c r="G10" s="8" t="str">
        <x:v>Menu sumber</x:v>
      </x:c>
      <x:c r="H10" s="8" t="str">
        <x:v>Rekening, bank, unit dan otorisasi benar</x:v>
      </x:c>
    </x:row>
    <x:row r="11" ht="80" customHeight="1">
      <x:c r="A11" s="8" t="n">
        <x:v>6</x:v>
      </x:c>
      <x:c r="B11" s="8" t="str">
        <x:v>Akhir hari</x:v>
      </x:c>
      <x:c r="C11" s="8" t="str">
        <x:v>Tinjau transaksi tertunda</x:v>
      </x:c>
      <x:c r="D11" s="8" t="str">
        <x:v>Ringkasan</x:v>
      </x:c>
      <x:c r="E11" s="8" t="str">
        <x:v>Pengecualian</x:v>
      </x:c>
      <x:c r="F11" s="8" t="str">
        <x:v>Masalah memiliki owner</x:v>
      </x:c>
      <x:c r="G11" s="8" t="str">
        <x:v>Akuntansi &amp; Tutup Buku</x:v>
      </x:c>
      <x:c r="H11" s="8" t="str">
        <x:v>Tidak menandai selesai tanpa bukti</x:v>
      </x:c>
    </x:row>
    <x:row r="12" ht="80" customHeight="1">
      <x:c r="A12" s="8" t="n">
        <x:v>7</x:v>
      </x:c>
      <x:c r="B12" s="8" t="str">
        <x:v>Akhir periode</x:v>
      </x:c>
      <x:c r="C12" s="8" t="str">
        <x:v>Pengakuan dan rekonsiliasi</x:v>
      </x:c>
      <x:c r="D12" s="8" t="str">
        <x:v>Akuntansi &amp; Tutup Buku</x:v>
      </x:c>
      <x:c r="E12" s="8" t="str">
        <x:v>Pengakuan periodik; Rekonsiliasi akun</x:v>
      </x:c>
      <x:c r="F12" s="8" t="str">
        <x:v>Register cocok dengan GL</x:v>
      </x:c>
      <x:c r="G12" s="8" t="str">
        <x:v>Tutup periode</x:v>
      </x:c>
      <x:c r="H12" s="8" t="str">
        <x:v>Jadwal tidak diposting dua kali</x:v>
      </x:c>
    </x:row>
    <x:row r="13" ht="80" customHeight="1">
      <x:c r="A13" s="8" t="n">
        <x:v>8</x:v>
      </x:c>
      <x:c r="B13" s="8" t="str">
        <x:v>Akhir periode</x:v>
      </x:c>
      <x:c r="C13" s="8" t="str">
        <x:v>Review dan kunci periode</x:v>
      </x:c>
      <x:c r="D13" s="8" t="str">
        <x:v>Akuntansi &amp; Tutup Buku</x:v>
      </x:c>
      <x:c r="E13" s="8" t="str">
        <x:v>Tutup periode</x:v>
      </x:c>
      <x:c r="F13" s="8" t="str">
        <x:v>Periode tertutup dan tertelusur</x:v>
      </x:c>
      <x:c r="G13" s="8" t="str">
        <x:v>Laporan</x:v>
      </x:c>
      <x:c r="H13" s="8" t="str">
        <x:v>Laba, ekuitas dan cakupan unit dapat ditelusuri</x:v>
      </x:c>
    </x:row>
    <x:row r="14" ht="80" customHeight="1"/>
    <x:row r="15" ht="80" customHeight="1">
      <x:c r="A15" s="17" t="str">
        <x:v>Alur bisnis yang dicakup finance</x:v>
      </x:c>
      <x:c r="B15" s="17" t="str">
        <x:v>Alur bisnis yang dicakup finance</x:v>
      </x:c>
      <x:c r="C15" s="17" t="str">
        <x:v>Alur bisnis yang dicakup finance</x:v>
      </x:c>
      <x:c r="D15" s="17" t="str">
        <x:v>Alur bisnis yang dicakup finance</x:v>
      </x:c>
      <x:c r="E15" s="17" t="str">
        <x:v>Alur bisnis yang dicakup finance</x:v>
      </x:c>
      <x:c r="F15" s="17" t="str">
        <x:v>Alur bisnis yang dicakup finance</x:v>
      </x:c>
      <x:c r="G15" s="17" t="str">
        <x:v>Alur bisnis yang dicakup finance</x:v>
      </x:c>
      <x:c r="H15" s="17" t="str">
        <x:v>Alur bisnis yang dicakup finance</x:v>
      </x:c>
    </x:row>
    <x:row r="16" ht="80" customHeight="1">
      <x:c r="A16" s="10" t="str">
        <x:v>Alur bisnis</x:v>
      </x:c>
      <x:c r="B16" s="10" t="str">
        <x:v>Pemicu / sumber</x:v>
      </x:c>
      <x:c r="C16" s="10" t="str">
        <x:v>Pencatatan awal</x:v>
      </x:c>
      <x:c r="D16" s="10" t="str">
        <x:v>Kontrol utama</x:v>
      </x:c>
      <x:c r="E16" s="10" t="str">
        <x:v>Penyelesaian uang</x:v>
      </x:c>
      <x:c r="F16" s="10" t="str">
        <x:v>Rekonsiliasi</x:v>
      </x:c>
      <x:c r="G16" s="10" t="str">
        <x:v>Hasil laporan</x:v>
      </x:c>
      <x:c r="H16" s="10" t="str">
        <x:v>ID yang dipertahankan</x:v>
      </x:c>
    </x:row>
    <x:row r="17" ht="80" customHeight="1">
      <x:c r="A17" s="8" t="str">
        <x:v>Pembelian barang</x:v>
      </x:c>
      <x:c r="B17" s="8" t="str">
        <x:v>PO dan penerimaan operasi</x:v>
      </x:c>
      <x:c r="C17" s="8" t="str">
        <x:v>Persediaan + Tagihan</x:v>
      </x:c>
      <x:c r="D17" s="8" t="str">
        <x:v>Jumlah diterima, harga, invoice</x:v>
      </x:c>
      <x:c r="E17" s="8" t="str">
        <x:v>Kas &amp; Bank</x:v>
      </x:c>
      <x:c r="F17" s="8" t="str">
        <x:v>Vendor, stok, GL</x:v>
      </x:c>
      <x:c r="G17" s="8" t="str">
        <x:v>Persediaan, utang, kas</x:v>
      </x:c>
      <x:c r="H17" s="8" t="str">
        <x:v>Penerimaan → tagihan → payment</x:v>
      </x:c>
    </x:row>
    <x:row r="18" ht="80" customHeight="1">
      <x:c r="A18" s="8" t="str">
        <x:v>Pengeluaran jasa</x:v>
      </x:c>
      <x:c r="B18" s="8" t="str">
        <x:v>Kontrak / bukti jasa</x:v>
      </x:c>
      <x:c r="C18" s="8" t="str">
        <x:v>Tagihan &amp; Pengeluaran</x:v>
      </x:c>
      <x:c r="D18" s="8" t="str">
        <x:v>Jenis biaya, unit, periode</x:v>
      </x:c>
      <x:c r="E18" s="8" t="str">
        <x:v>Kas &amp; Bank</x:v>
      </x:c>
      <x:c r="F18" s="8" t="str">
        <x:v>Utang, biaya, GL</x:v>
      </x:c>
      <x:c r="G18" s="8" t="str">
        <x:v>Beban dan utang</x:v>
      </x:c>
      <x:c r="H18" s="8" t="str">
        <x:v>Tagihan → payment → jurnal</x:v>
      </x:c>
    </x:row>
    <x:row r="19" ht="80" customHeight="1">
      <x:c r="A19" s="8" t="str">
        <x:v>Penjualan kartu</x:v>
      </x:c>
      <x:c r="B19" s="8" t="str">
        <x:v>Sumber penjualan/POS</x:v>
      </x:c>
      <x:c r="C19" s="8" t="str">
        <x:v>Penjualan &amp; Piutang</x:v>
      </x:c>
      <x:c r="D19" s="8" t="str">
        <x:v>Bruto, biaya, neto</x:v>
      </x:c>
      <x:c r="E19" s="8" t="str">
        <x:v>Penerimaan Kas &amp; Bank</x:v>
      </x:c>
      <x:c r="F19" s="8" t="str">
        <x:v>Settlement dan bank</x:v>
      </x:c>
      <x:c r="G19" s="8" t="str">
        <x:v>Pendapatan, piutang, kas</x:v>
      </x:c>
      <x:c r="H19" s="8" t="str">
        <x:v>Penjualan → settlement → receipt</x:v>
      </x:c>
    </x:row>
    <x:row r="20" ht="80" customHeight="1">
      <x:c r="A20" s="8" t="str">
        <x:v>Penjualan kredit/jasa</x:v>
      </x:c>
      <x:c r="B20" s="8" t="str">
        <x:v>Penjualan / jasa disetujui</x:v>
      </x:c>
      <x:c r="C20" s="8" t="str">
        <x:v>Tagihan &amp; piutang</x:v>
      </x:c>
      <x:c r="D20" s="8" t="str">
        <x:v>Dasar pendapatan, jatuh tempo</x:v>
      </x:c>
      <x:c r="E20" s="8" t="str">
        <x:v>Penerimaan dialokasikan</x:v>
      </x:c>
      <x:c r="F20" s="8" t="str">
        <x:v>Umur piutang dan GL</x:v>
      </x:c>
      <x:c r="G20" s="8" t="str">
        <x:v>Pendapatan dan piutang</x:v>
      </x:c>
      <x:c r="H20" s="8" t="str">
        <x:v>Invoice → receipt allocation</x:v>
      </x:c>
    </x:row>
    <x:row r="21" ht="80" customHeight="1">
      <x:c r="A21" s="8" t="str">
        <x:v>Uang muka operasional</x:v>
      </x:c>
      <x:c r="B21" s="8" t="str">
        <x:v>Permintaan pegawai</x:v>
      </x:c>
      <x:c r="C21" s="8" t="str">
        <x:v>Uang muka</x:v>
      </x:c>
      <x:c r="D21" s="8" t="str">
        <x:v>Persetujuan dan bukti aktual</x:v>
      </x:c>
      <x:c r="E21" s="8" t="str">
        <x:v>Pencairan/pengembalian</x:v>
      </x:c>
      <x:c r="F21" s="8" t="str">
        <x:v>Uang muka vs biaya</x:v>
      </x:c>
      <x:c r="G21" s="8" t="str">
        <x:v>Aset lancar/beban</x:v>
      </x:c>
      <x:c r="H21" s="8" t="str">
        <x:v>Advance → payment → liquidation</x:v>
      </x:c>
    </x:row>
    <x:row r="22" ht="80" customHeight="1">
      <x:c r="A22" s="8" t="str">
        <x:v>Barang antarunit</x:v>
      </x:c>
      <x:c r="B22" s="8" t="str">
        <x:v>Pengiriman operasi</x:v>
      </x:c>
      <x:c r="C22" s="8" t="str">
        <x:v>Persediaan</x:v>
      </x:c>
      <x:c r="D22" s="8" t="str">
        <x:v>Kirim/terima dan nilai transit</x:v>
      </x:c>
      <x:c r="E22" s="8" t="str">
        <x:v>Jika diselesaikan: Antarunit</x:v>
      </x:c>
      <x:c r="F22" s="8" t="str">
        <x:v>Pasangan barang</x:v>
      </x:c>
      <x:c r="G22" s="8" t="str">
        <x:v>Persediaan, afiliasi</x:v>
      </x:c>
      <x:c r="H22" s="8" t="str">
        <x:v>Shipment → receipt → pasangan</x:v>
      </x:c>
    </x:row>
    <x:row r="23" ht="80" customHeight="1">
      <x:c r="A23" s="8" t="str">
        <x:v>Pendanaan antarunit</x:v>
      </x:c>
      <x:c r="B23" s="8" t="str">
        <x:v>Keputusan pendanaan</x:v>
      </x:c>
      <x:c r="C23" s="8" t="str">
        <x:v>Antarunit</x:v>
      </x:c>
      <x:c r="D23" s="8" t="str">
        <x:v>Keluarga pembiayaan, lawan</x:v>
      </x:c>
      <x:c r="E23" s="8" t="str">
        <x:v>Kas &amp; Bank</x:v>
      </x:c>
      <x:c r="F23" s="8" t="str">
        <x:v>Pasangan pembiayaan</x:v>
      </x:c>
      <x:c r="G23" s="8" t="str">
        <x:v>Piutang/utang afiliasi</x:v>
      </x:c>
      <x:c r="H23" s="8" t="str">
        <x:v>Funding → payment → settlement</x:v>
      </x:c>
    </x:row>
    <x:row r="24" ht="80" customHeight="1">
      <x:c r="A24" s="8" t="str">
        <x:v>Proyek menjadi aset</x:v>
      </x:c>
      <x:c r="B24" s="8" t="str">
        <x:v>Tagihan proyek dan siap pakai</x:v>
      </x:c>
      <x:c r="C24" s="8" t="str">
        <x:v>Aset &amp; Proyek</x:v>
      </x:c>
      <x:c r="D24" s="8" t="str">
        <x:v>Biaya sumber, klasifikasi</x:v>
      </x:c>
      <x:c r="E24" s="8" t="str">
        <x:v>Kas &amp; Bank dari tagihan</x:v>
      </x:c>
      <x:c r="F24" s="8" t="str">
        <x:v>Aset dan penyusutan vs GL</x:v>
      </x:c>
      <x:c r="G24" s="8" t="str">
        <x:v>Aset dan beban penyusutan</x:v>
      </x:c>
      <x:c r="H24" s="8" t="str">
        <x:v>Bill → project → asset → schedule</x:v>
      </x:c>
    </x:row>
    <x:row r="25" ht="80" customHeight="1">
      <x:c r="A25" s="8" t="str">
        <x:v>Payroll dan pinjaman pegawai</x:v>
      </x:c>
      <x:c r="B25" s="8" t="str">
        <x:v>Batch HR disetujui</x:v>
      </x:c>
      <x:c r="C25" s="8" t="str">
        <x:v>Payroll</x:v>
      </x:c>
      <x:c r="D25" s="8" t="str">
        <x:v>Komponen, pajak, potongan</x:v>
      </x:c>
      <x:c r="E25" s="8" t="str">
        <x:v>Kas &amp; Bank</x:v>
      </x:c>
      <x:c r="F25" s="8" t="str">
        <x:v>Batch, payment, piutang pegawai</x:v>
      </x:c>
      <x:c r="G25" s="8" t="str">
        <x:v>Beban, kewajiban, piutang</x:v>
      </x:c>
      <x:c r="H25" s="8" t="str">
        <x:v>Batch → obligation → payment</x:v>
      </x:c>
    </x:row>
    <x:row r="26" ht="80" customHeight="1">
      <x:c r="A26" s="8" t="str">
        <x:v>Pajak</x:v>
      </x:c>
      <x:c r="B26" s="8" t="str">
        <x:v>Tagihan/penjualan/payroll</x:v>
      </x:c>
      <x:c r="C26" s="8" t="str">
        <x:v>Pajak</x:v>
      </x:c>
      <x:c r="D26" s="8" t="str">
        <x:v>Sumber, masa, jenis</x:v>
      </x:c>
      <x:c r="E26" s="8" t="str">
        <x:v>Kas &amp; Bank</x:v>
      </x:c>
      <x:c r="F26" s="8" t="str">
        <x:v>Kewajiban, bukti bayar, laporan</x:v>
      </x:c>
      <x:c r="G26" s="8" t="str">
        <x:v>Saldo pajak</x:v>
      </x:c>
      <x:c r="H26" s="8" t="str">
        <x:v>Source → obligation → pay/file</x:v>
      </x:c>
    </x:row>
    <x:row r="27" ht="80" customHeight="1">
      <x:c r="A27" s="8" t="str">
        <x:v>Pinjaman eksternal</x:v>
      </x:c>
      <x:c r="B27" s="8" t="str">
        <x:v>Kontrak pemberi dana</x:v>
      </x:c>
      <x:c r="C27" s="8" t="str">
        <x:v>Pendanaan &amp; Modal</x:v>
      </x:c>
      <x:c r="D27" s="8" t="str">
        <x:v>Pokok, bunga, biaya</x:v>
      </x:c>
      <x:c r="E27" s="8" t="str">
        <x:v>Kas &amp; Bank</x:v>
      </x:c>
      <x:c r="F27" s="8" t="str">
        <x:v>Jadwal dan saldo pokok</x:v>
      </x:c>
      <x:c r="G27" s="8" t="str">
        <x:v>Pinjaman dan biaya</x:v>
      </x:c>
      <x:c r="H27" s="8" t="str">
        <x:v>Contract → instalment → payment</x:v>
      </x:c>
    </x:row>
    <x:row r="28" ht="80" customHeight="1">
      <x:c r="A28" s="8" t="str">
        <x:v>Modal dan distribusi</x:v>
      </x:c>
      <x:c r="B28" s="8" t="str">
        <x:v>Keputusan pemilik</x:v>
      </x:c>
      <x:c r="C28" s="8" t="str">
        <x:v>Modal &amp; distribusi</x:v>
      </x:c>
      <x:c r="D28" s="8" t="str">
        <x:v>Dasar transaksi dan pemilik</x:v>
      </x:c>
      <x:c r="E28" s="8" t="str">
        <x:v>Kas &amp; Bank bila ada</x:v>
      </x:c>
      <x:c r="F28" s="8" t="str">
        <x:v>Ekuitas vs GL</x:v>
      </x:c>
      <x:c r="G28" s="8" t="str">
        <x:v>Perubahan ekuitas</x:v>
      </x:c>
      <x:c r="H28" s="8" t="str">
        <x:v>Decision → cash → equity move</x:v>
      </x:c>
    </x:row>
    <x:row r="29" ht="80" customHeight="1">
      <x:c r="A29" s="8" t="str">
        <x:v>Penutupan periode</x:v>
      </x:c>
      <x:c r="B29" s="8" t="str">
        <x:v>Selesai proses domain</x:v>
      </x:c>
      <x:c r="C29" s="8" t="str">
        <x:v>Akuntansi &amp; Tutup Buku</x:v>
      </x:c>
      <x:c r="D29" s="8" t="str">
        <x:v>Rekonsiliasi dan checklist</x:v>
      </x:c>
      <x:c r="E29" s="8" t="str">
        <x:v>Bukan pembayaran baru</x:v>
      </x:c>
      <x:c r="F29" s="8" t="str">
        <x:v>Semua register vs GL</x:v>
      </x:c>
      <x:c r="G29" s="8" t="str">
        <x:v>Laporan periode</x:v>
      </x:c>
      <x:c r="H29" s="8" t="str">
        <x:v>Period → bukti → keputusan tutup</x:v>
      </x:c>
    </x:row>
    <x:row r="30" ht="80" customHeight="1"/>
  </x:sheetData>
  <x:mergeCells>
    <x:mergeCell ref="A1:H1"/>
    <x:mergeCell ref="A2:H3"/>
    <x:mergeCell ref="A15:H15"/>
  </x:mergeCells>
  <x:pageMargins left="0.7" right="0.7" top="0.75" bottom="0.75" header="0.3" footer="0.3"/>
  <x:tableParts count="2">
    <x:tablePart xmlns:r="http://schemas.openxmlformats.org/officeDocument/2006/relationships" r:id="R051e637476824efc"/>
    <x:tablePart xmlns:r="http://schemas.openxmlformats.org/officeDocument/2006/relationships" r:id="Rbd2d43b76a12487e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2" t="str">
        <x:v>Pola layar dan batas antarmenu</x:v>
      </x:c>
      <x:c r="B1" s="1"/>
      <x:c r="C1" s="1"/>
      <x:c r="D1" s="1"/>
      <x:c r="E1" s="1"/>
      <x:c r="F1" s="1"/>
      <x:c r="G1" s="1"/>
      <x:c r="H1" s="1"/>
    </x:row>
    <x:row r="2" ht="20" customHeight="1">
      <x:c r="A2" s="5" t="str">
        <x:v>Prinsip desain: menu mengikuti pekerjaan bisnis; akun COA adalah dasar pencatatan dan kontrol. Aturan di bawah merupakan usulan implementasi.</x:v>
      </x:c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5" ht="36" customHeight="1">
      <x:c r="A5" s="10" t="str">
        <x:v>Bagian layar</x:v>
      </x:c>
      <x:c r="B5" s="10" t="str">
        <x:v>Bentuk</x:v>
      </x:c>
      <x:c r="C5" s="10" t="str">
        <x:v>Isi utama</x:v>
      </x:c>
      <x:c r="D5" s="10" t="str">
        <x:v>Perilaku</x:v>
      </x:c>
      <x:c r="E5" s="10" t="str">
        <x:v>Contoh</x:v>
      </x:c>
      <x:c r="F5" s="10" t="str">
        <x:v>Batas</x:v>
      </x:c>
      <x:c r="G5" s="10" t="str">
        <x:v>Pemilik</x:v>
      </x:c>
      <x:c r="H5" s="10" t="str">
        <x:v>Keputusan</x:v>
      </x:c>
    </x:row>
    <x:row r="6" ht="85" customHeight="1">
      <x:c r="A6" s="8" t="str">
        <x:v>Header</x:v>
      </x:c>
      <x:c r="B6" s="8" t="str">
        <x:v>Judul dan aksi utama</x:v>
      </x:c>
      <x:c r="C6" s="8" t="str">
        <x:v>Nama menu, unit, periode</x:v>
      </x:c>
      <x:c r="D6" s="8" t="str">
        <x:v>Konteks bertahan saat berpindah tab</x:v>
      </x:c>
      <x:c r="E6" s="8" t="str">
        <x:v>Tagihan; unit C006</x:v>
      </x:c>
      <x:c r="F6" s="8" t="str">
        <x:v>Tampilkan konteks lintas unit secara jelas</x:v>
      </x:c>
      <x:c r="G6" s="8" t="str">
        <x:v>Semua menu</x:v>
      </x:c>
      <x:c r="H6" s="8" t="str">
        <x:v>Usulan</x:v>
      </x:c>
    </x:row>
    <x:row r="7" ht="85" customHeight="1">
      <x:c r="A7" s="8" t="str">
        <x:v>Ringkasan</x:v>
      </x:c>
      <x:c r="B7" s="8" t="str">
        <x:v>Angka ringkas sesuai pekerjaan</x:v>
      </x:c>
      <x:c r="C7" s="8" t="str">
        <x:v>Maksimal beberapa angka yang membantu tindakan</x:v>
      </x:c>
      <x:c r="D7" s="8" t="str">
        <x:v>Klik angka menerapkan filter terkait</x:v>
      </x:c>
      <x:c r="E7" s="8" t="str">
        <x:v>Tagihan jatuh tempo</x:v>
      </x:c>
      <x:c r="F7" s="8" t="str">
        <x:v>Definisi angka harus jelas</x:v>
      </x:c>
      <x:c r="G7" s="8" t="str">
        <x:v>Semua menu</x:v>
      </x:c>
      <x:c r="H7" s="8" t="str">
        <x:v>Usulan</x:v>
      </x:c>
    </x:row>
    <x:row r="8" ht="85" customHeight="1">
      <x:c r="A8" s="8" t="str">
        <x:v>Tab</x:v>
      </x:c>
      <x:c r="B8" s="8" t="str">
        <x:v>Kelompok objek/pekerjaan</x:v>
      </x:c>
      <x:c r="C8" s="8" t="str">
        <x:v>Nama tab pada sheet menu</x:v>
      </x:c>
      <x:c r="D8" s="8" t="str">
        <x:v>Ganti tab mempertahankan konteks global</x:v>
      </x:c>
      <x:c r="E8" s="8" t="str">
        <x:v>Tagihan; uang muka</x:v>
      </x:c>
      <x:c r="F8" s="8" t="str">
        <x:v>Status menjadi filter, bukan tab berulang</x:v>
      </x:c>
      <x:c r="G8" s="8" t="str">
        <x:v>Pemilik menu</x:v>
      </x:c>
      <x:c r="H8" s="8" t="str">
        <x:v>Usulan</x:v>
      </x:c>
    </x:row>
    <x:row r="9" ht="85" customHeight="1">
      <x:c r="A9" s="8" t="str">
        <x:v>Tabel</x:v>
      </x:c>
      <x:c r="B9" s="8" t="str">
        <x:v>Daftar ringkas</x:v>
      </x:c>
      <x:c r="C9" s="8" t="str">
        <x:v>Kolom contoh di sheet menu</x:v>
      </x:c>
      <x:c r="D9" s="8" t="str">
        <x:v>Cari, urutkan, filter, buka baris</x:v>
      </x:c>
      <x:c r="E9" s="8" t="str">
        <x:v>Nomor, pihak, nilai, status</x:v>
      </x:c>
      <x:c r="F9" s="8" t="str">
        <x:v>Kolom tambahan melalui pilihan kolom/detail</x:v>
      </x:c>
      <x:c r="G9" s="8" t="str">
        <x:v>Pemilik menu</x:v>
      </x:c>
      <x:c r="H9" s="8" t="str">
        <x:v>Usulan</x:v>
      </x:c>
    </x:row>
    <x:row r="10" ht="85" customHeight="1">
      <x:c r="A10" s="8" t="str">
        <x:v>Panel detail</x:v>
      </x:c>
      <x:c r="B10" s="8" t="str">
        <x:v>Panel samping atau halaman detail</x:v>
      </x:c>
      <x:c r="C10" s="8" t="str">
        <x:v>Ringkasan; rincian; dokumen terkait; jurnal; riwayat</x:v>
      </x:c>
      <x:c r="D10" s="8" t="str">
        <x:v>Aksi sesuai status dan hak akses</x:v>
      </x:c>
      <x:c r="E10" s="8" t="str">
        <x:v>BILL-001 membuka PAY-001</x:v>
      </x:c>
      <x:c r="F10" s="8" t="str">
        <x:v>Jurnal dan riwayat baca; koreksi lewat sumber</x:v>
      </x:c>
      <x:c r="G10" s="8" t="str">
        <x:v>Pemilik dokumen</x:v>
      </x:c>
      <x:c r="H10" s="8" t="str">
        <x:v>Usulan</x:v>
      </x:c>
    </x:row>
    <x:row r="11" ht="85" customHeight="1">
      <x:c r="A11" s="8" t="str">
        <x:v>Form</x:v>
      </x:c>
      <x:c r="B11" s="8" t="str">
        <x:v>Bagian umum lalu baris rincian</x:v>
      </x:c>
      <x:c r="C11" s="8" t="str">
        <x:v>Unit, tanggal, pihak, kategori, nominal, lampiran</x:v>
      </x:c>
      <x:c r="D11" s="8" t="str">
        <x:v>Validasi sebelum pengajuan/posting</x:v>
      </x:c>
      <x:c r="E11" s="8" t="str">
        <x:v>Tagihan dengan beberapa biaya</x:v>
      </x:c>
      <x:c r="F11" s="8" t="str">
        <x:v>Akun teknis ditampilkan sesuai kebutuhan pengguna</x:v>
      </x:c>
      <x:c r="G11" s="8" t="str">
        <x:v>Pemilik dokumen</x:v>
      </x:c>
      <x:c r="H11" s="8" t="str">
        <x:v>Usulan</x:v>
      </x:c>
    </x:row>
    <x:row r="12" ht="85" customHeight="1">
      <x:c r="A12" s="8" t="str">
        <x:v>Konfirmasi aksi</x:v>
      </x:c>
      <x:c r="B12" s="8" t="str">
        <x:v>Ringkasan sebelum tindakan berdampak</x:v>
      </x:c>
      <x:c r="C12" s="8" t="str">
        <x:v>Dokumen, unit, rekening, nilai, akibat</x:v>
      </x:c>
      <x:c r="D12" s="8" t="str">
        <x:v>Jelas bedakan simpan, setujui dan eksekusi</x:v>
      </x:c>
      <x:c r="E12" s="8" t="str">
        <x:v>Bayar tagihan</x:v>
      </x:c>
      <x:c r="F12" s="8" t="str">
        <x:v>Tidak menganggap approve sama dengan paid</x:v>
      </x:c>
      <x:c r="G12" s="8" t="str">
        <x:v>Pemilik tindakan</x:v>
      </x:c>
      <x:c r="H12" s="8" t="str">
        <x:v>Usulan</x:v>
      </x:c>
    </x:row>
    <x:row r="13" ht="85" customHeight="1">
      <x:c r="A13" s="8" t="str">
        <x:v>Status</x:v>
      </x:c>
      <x:c r="B13" s="8" t="str">
        <x:v>Status dokumen dan status penyelesaian</x:v>
      </x:c>
      <x:c r="C13" s="8" t="str">
        <x:v>Approval, posting, pembayaran jika relevan</x:v>
      </x:c>
      <x:c r="D13" s="8" t="str">
        <x:v>Dapat terlihat terpisah di detail</x:v>
      </x:c>
      <x:c r="E13" s="8" t="str">
        <x:v>Disetujui; belum dibayar</x:v>
      </x:c>
      <x:c r="F13" s="8" t="str">
        <x:v>Bayar pajak terpisah dari lapor</x:v>
      </x:c>
      <x:c r="G13" s="8" t="str">
        <x:v>Pemilik dokumen</x:v>
      </x:c>
      <x:c r="H13" s="8" t="str">
        <x:v>Usulan</x:v>
      </x:c>
    </x:row>
    <x:row r="14" ht="85" customHeight="1">
      <x:c r="A14" s="8" t="str">
        <x:v>Koreksi</x:v>
      </x:c>
      <x:c r="B14" s="8" t="str">
        <x:v>Tautan ke sumber dan riwayat</x:v>
      </x:c>
      <x:c r="C14" s="8" t="str">
        <x:v>Alasan, versi atau pembalikan</x:v>
      </x:c>
      <x:c r="D14" s="8" t="str">
        <x:v>Dokumen posted tidak diubah diam-diam</x:v>
      </x:c>
      <x:c r="E14" s="8" t="str">
        <x:v>Pembatalan giro</x:v>
      </x:c>
      <x:c r="F14" s="8" t="str">
        <x:v>Dampak semua register direkonsiliasi</x:v>
      </x:c>
      <x:c r="G14" s="8" t="str">
        <x:v>Akuntansi/domain</x:v>
      </x:c>
      <x:c r="H14" s="8" t="str">
        <x:v>Usulan</x:v>
      </x:c>
    </x:row>
    <x:row r="15" ht="85" customHeight="1">
      <x:c r="A15" s="8" t="str">
        <x:v>Ekspor</x:v>
      </x:c>
      <x:c r="B15" s="8" t="str">
        <x:v>Data mengikuti filter dan izin</x:v>
      </x:c>
      <x:c r="C15" s="8" t="str">
        <x:v>Kolom pilihan, unit, periode</x:v>
      </x:c>
      <x:c r="D15" s="8" t="str">
        <x:v>Tidak membocorkan data pegawai/unit lain</x:v>
      </x:c>
      <x:c r="E15" s="8" t="str">
        <x:v>Daftar piutang</x:v>
      </x:c>
      <x:c r="F15" s="8" t="str">
        <x:v>Ekspor bukan jalur transaksi baru</x:v>
      </x:c>
      <x:c r="G15" s="8" t="str">
        <x:v>Semua menu</x:v>
      </x:c>
      <x:c r="H15" s="8" t="str">
        <x:v>Usulan</x:v>
      </x:c>
    </x:row>
    <x:row r="16" ht="85" customHeight="1"/>
    <x:row r="17" ht="85" customHeight="1">
      <x:c r="A17" s="17" t="str">
        <x:v>Batas tanggung jawab yang harus konsisten</x:v>
      </x:c>
      <x:c r="B17" s="17" t="str">
        <x:v>Batas tanggung jawab yang harus konsisten</x:v>
      </x:c>
      <x:c r="C17" s="17" t="str">
        <x:v>Batas tanggung jawab yang harus konsisten</x:v>
      </x:c>
      <x:c r="D17" s="17" t="str">
        <x:v>Batas tanggung jawab yang harus konsisten</x:v>
      </x:c>
      <x:c r="E17" s="17" t="str">
        <x:v>Batas tanggung jawab yang harus konsisten</x:v>
      </x:c>
      <x:c r="F17" s="17" t="str">
        <x:v>Batas tanggung jawab yang harus konsisten</x:v>
      </x:c>
      <x:c r="G17" s="17" t="str">
        <x:v>Batas tanggung jawab yang harus konsisten</x:v>
      </x:c>
      <x:c r="H17" s="17" t="str">
        <x:v>Batas tanggung jawab yang harus konsisten</x:v>
      </x:c>
    </x:row>
    <x:row r="18" ht="85" customHeight="1">
      <x:c r="A18" s="10" t="str">
        <x:v>Pertemuan</x:v>
      </x:c>
      <x:c r="B18" s="10" t="str">
        <x:v>Sumber dokumen</x:v>
      </x:c>
      <x:c r="C18" s="10" t="str">
        <x:v>Pemilik proses</x:v>
      </x:c>
      <x:c r="D18" s="10" t="str">
        <x:v>Menu yang menampilkan</x:v>
      </x:c>
      <x:c r="E18" s="10" t="str">
        <x:v>Aksi yang dipakai bersama</x:v>
      </x:c>
      <x:c r="F18" s="10" t="str">
        <x:v>Yang harus dicegah</x:v>
      </x:c>
      <x:c r="G18" s="10" t="str">
        <x:v>Bukti penerimaan</x:v>
      </x:c>
      <x:c r="H18" s="10" t="str">
        <x:v>Prioritas</x:v>
      </x:c>
    </x:row>
    <x:row r="19" ht="85" customHeight="1">
      <x:c r="A19" s="8" t="str">
        <x:v>Tagihan dan kas</x:v>
      </x:c>
      <x:c r="B19" s="8" t="str">
        <x:v>Tagihan vendor</x:v>
      </x:c>
      <x:c r="C19" s="8" t="str">
        <x:v>AP / Treasury sesuai tahap</x:v>
      </x:c>
      <x:c r="D19" s="8" t="str">
        <x:v>Tagihan; Kas &amp; Bank</x:v>
      </x:c>
      <x:c r="E19" s="8" t="str">
        <x:v>Satu payment dan alokasi</x:v>
      </x:c>
      <x:c r="F19" s="8" t="str">
        <x:v>Pembayaran hilang dari register atau ganda</x:v>
      </x:c>
      <x:c r="G19" s="8" t="str">
        <x:v>Bayar dari tagihan tampil di kedua menu</x:v>
      </x:c>
      <x:c r="H19" s="8" t="str">
        <x:v>Pertama</x:v>
      </x:c>
    </x:row>
    <x:row r="20" ht="85" customHeight="1">
      <x:c r="A20" s="8" t="str">
        <x:v>Giro dan bank</x:v>
      </x:c>
      <x:c r="B20" s="8" t="str">
        <x:v>Instrumen giro</x:v>
      </x:c>
      <x:c r="C20" s="8" t="str">
        <x:v>Treasury</x:v>
      </x:c>
      <x:c r="D20" s="8" t="str">
        <x:v>Giro; Pembayaran; Rekonsiliasi</x:v>
      </x:c>
      <x:c r="E20" s="8" t="str">
        <x:v>Satu bank dan nomor instrumen</x:v>
      </x:c>
      <x:c r="F20" s="8" t="str">
        <x:v>Giro Mandiri memakai akun BCA</x:v>
      </x:c>
      <x:c r="G20" s="8" t="str">
        <x:v>Uji bank berbeda, cair dan batal</x:v>
      </x:c>
      <x:c r="H20" s="8" t="str">
        <x:v>Pertama</x:v>
      </x:c>
    </x:row>
    <x:row r="21" ht="85" customHeight="1">
      <x:c r="A21" s="8" t="str">
        <x:v>Barang dan antarunit</x:v>
      </x:c>
      <x:c r="B21" s="8" t="str">
        <x:v>Pengiriman/penerimaan</x:v>
      </x:c>
      <x:c r="C21" s="8" t="str">
        <x:v>Persediaan untuk barang; Antarunit untuk saldo</x:v>
      </x:c>
      <x:c r="D21" s="8" t="str">
        <x:v>Persediaan; Antarunit</x:v>
      </x:c>
      <x:c r="E21" s="8" t="str">
        <x:v>Satu sumber, dua tanggung jawab</x:v>
      </x:c>
      <x:c r="F21" s="8" t="str">
        <x:v>Duplikasi kirim/terima atau salah keluarga</x:v>
      </x:c>
      <x:c r="G21" s="8" t="str">
        <x:v>Nilai barang dan pasangan cocok</x:v>
      </x:c>
      <x:c r="H21" s="8" t="str">
        <x:v>Pertama</x:v>
      </x:c>
    </x:row>
    <x:row r="22" ht="85" customHeight="1">
      <x:c r="A22" s="8" t="str">
        <x:v>Pendanaan antarunit</x:v>
      </x:c>
      <x:c r="B22" s="8" t="str">
        <x:v>Keputusan pembiayaan</x:v>
      </x:c>
      <x:c r="C22" s="8" t="str">
        <x:v>Antarunit</x:v>
      </x:c>
      <x:c r="D22" s="8" t="str">
        <x:v>Antarunit; Kas &amp; Bank</x:v>
      </x:c>
      <x:c r="E22" s="8" t="str">
        <x:v>Settlement jenis pembiayaan</x:v>
      </x:c>
      <x:c r="F22" s="8" t="str">
        <x:v>Pelunasan mengurangi utang barang</x:v>
      </x:c>
      <x:c r="G22" s="8" t="str">
        <x:v>Saldo keluarga pembiayaan berkurang</x:v>
      </x:c>
      <x:c r="H22" s="8" t="str">
        <x:v>Pertama</x:v>
      </x:c>
    </x:row>
    <x:row r="23" ht="85" customHeight="1">
      <x:c r="A23" s="8" t="str">
        <x:v>Payroll dan piutang pegawai</x:v>
      </x:c>
      <x:c r="B23" s="8" t="str">
        <x:v>Batch dan pinjaman</x:v>
      </x:c>
      <x:c r="C23" s="8" t="str">
        <x:v>Payroll</x:v>
      </x:c>
      <x:c r="D23" s="8" t="str">
        <x:v>Payroll; Kas &amp; Bank; GL</x:v>
      </x:c>
      <x:c r="E23" s="8" t="str">
        <x:v>Potongan dengan referensi batch</x:v>
      </x:c>
      <x:c r="F23" s="8" t="str">
        <x:v>Saldo piutang berubah tanpa jurnal</x:v>
      </x:c>
      <x:c r="G23" s="8" t="str">
        <x:v>Register pegawai sama dengan GL</x:v>
      </x:c>
      <x:c r="H23" s="8" t="str">
        <x:v>Pertama</x:v>
      </x:c>
    </x:row>
    <x:row r="24" ht="85" customHeight="1">
      <x:c r="A24" s="8" t="str">
        <x:v>Pajak dan kas</x:v>
      </x:c>
      <x:c r="B24" s="8" t="str">
        <x:v>Kewajiban pajak</x:v>
      </x:c>
      <x:c r="C24" s="8" t="str">
        <x:v>Pajak / Treasury sesuai tahap</x:v>
      </x:c>
      <x:c r="D24" s="8" t="str">
        <x:v>Pajak; Kas &amp; Bank</x:v>
      </x:c>
      <x:c r="E24" s="8" t="str">
        <x:v>Payment dan bukti bayar</x:v>
      </x:c>
      <x:c r="F24" s="8" t="str">
        <x:v>Status lapor dianggap status bayar</x:v>
      </x:c>
      <x:c r="G24" s="8" t="str">
        <x:v>Bayar dan lapor diuji terpisah</x:v>
      </x:c>
      <x:c r="H24" s="8" t="str">
        <x:v>Pertama</x:v>
      </x:c>
    </x:row>
    <x:row r="25" ht="85" customHeight="1">
      <x:c r="A25" s="8" t="str">
        <x:v>Tutup buku dan ekuitas</x:v>
      </x:c>
      <x:c r="B25" s="8" t="str">
        <x:v>Buku besar periode</x:v>
      </x:c>
      <x:c r="C25" s="8" t="str">
        <x:v>Akuntansi</x:v>
      </x:c>
      <x:c r="D25" s="8" t="str">
        <x:v>Tutup buku; Modal; Laporan</x:v>
      </x:c>
      <x:c r="E25" s="8" t="str">
        <x:v>Hasil periode tertelusur</x:v>
      </x:c>
      <x:c r="F25" s="8" t="str">
        <x:v>Laba ekuitas berupa angka contoh tetap</x:v>
      </x:c>
      <x:c r="G25" s="8" t="str">
        <x:v>Laporan hasil sama dengan jembatan ekuitas</x:v>
      </x:c>
      <x:c r="H25" s="8" t="str">
        <x:v>Pertama</x:v>
      </x:c>
    </x:row>
    <x:row r="26" ht="85" customHeight="1">
      <x:c r="A26" s="8" t="str">
        <x:v>Biaya kanal dan biaya umum</x:v>
      </x:c>
      <x:c r="B26" s="8" t="str">
        <x:v>Settlement kanal</x:v>
      </x:c>
      <x:c r="C26" s="8" t="str">
        <x:v>Penjualan &amp; Piutang</x:v>
      </x:c>
      <x:c r="D26" s="8" t="str">
        <x:v>Settlement; GL; laporan biaya</x:v>
      </x:c>
      <x:c r="E26" s="8" t="str">
        <x:v>Biaya dari settlement yang sama</x:v>
      </x:c>
      <x:c r="F26" s="8" t="str">
        <x:v>Tagihan biaya kartu dibuat ulang</x:v>
      </x:c>
      <x:c r="G26" s="8" t="str">
        <x:v>Bruto dikurangi biaya sama dengan neto</x:v>
      </x:c>
      <x:c r="H26" s="8" t="str">
        <x:v>Berikutnya</x:v>
      </x:c>
    </x:row>
    <x:row r="27" ht="85" customHeight="1">
      <x:c r="A27" s="8" t="str">
        <x:v>Jurnal dan domain</x:v>
      </x:c>
      <x:c r="B27" s="8" t="str">
        <x:v>Dokumen asli</x:v>
      </x:c>
      <x:c r="C27" s="8" t="str">
        <x:v>Domain; Akuntansi untuk kontrol</x:v>
      </x:c>
      <x:c r="D27" s="8" t="str">
        <x:v>Semua sumber; Jurnal</x:v>
      </x:c>
      <x:c r="E27" s="8" t="str">
        <x:v>Validasi akun yang sama</x:v>
      </x:c>
      <x:c r="F27" s="8" t="str">
        <x:v>Akun nonaktif, induk atau unit salah</x:v>
      </x:c>
      <x:c r="G27" s="8" t="str">
        <x:v>Uji negatif ditolak di semua jalur</x:v>
      </x:c>
      <x:c r="H27" s="8" t="str">
        <x:v>Pertama</x:v>
      </x:c>
    </x:row>
    <x:row r="28" ht="85" customHeight="1"/>
    <x:row r="29" ht="27" customHeight="1">
      <x:c r="A29" s="17" t="str">
        <x:v>Sumber dan asumsi</x:v>
      </x:c>
      <x:c r="B29" s="17" t="str">
        <x:v>Sumber dan asumsi</x:v>
      </x:c>
      <x:c r="C29" s="17" t="str">
        <x:v>Sumber dan asumsi</x:v>
      </x:c>
      <x:c r="D29" s="17" t="str">
        <x:v>Sumber dan asumsi</x:v>
      </x:c>
      <x:c r="E29" s="17" t="str">
        <x:v>Sumber dan asumsi</x:v>
      </x:c>
      <x:c r="F29" s="17" t="str">
        <x:v>Sumber dan asumsi</x:v>
      </x:c>
      <x:c r="G29" s="17" t="str">
        <x:v>Sumber dan asumsi</x:v>
      </x:c>
      <x:c r="H29" s="17" t="str">
        <x:v>Sumber dan asumsi</x:v>
      </x:c>
    </x:row>
    <x:row r="30" ht="32" customHeight="1">
      <x:c r="A30" s="15" t="str">
        <x:v>Sumber COA</x:v>
      </x:c>
      <x:c r="B30" s="14" t="str">
        <x:v>Laporan_Master_Account1.csv: 7.528 kode, dibandingkan dengan master Finance Lab pada audit 10 September 2026.</x:v>
      </x:c>
      <x:c r="C30" s="14"/>
      <x:c r="D30" s="14"/>
      <x:c r="E30" s="14"/>
      <x:c r="F30" s="14"/>
      <x:c r="G30" s="14"/>
      <x:c r="H30" s="14"/>
    </x:row>
    <x:row r="31" ht="32" customHeight="1">
      <x:c r="A31" s="15" t="str">
        <x:v>Sumber audit</x:v>
      </x:c>
      <x:c r="B31" s="14" t="str">
        <x:v>Hasil_Pembuktian_Finance.md dan Pembuktian_Finance_COA.xlsx: hasil runtime, cakupan akun dan usulan penanggung jawab kontrol.</x:v>
      </x:c>
      <x:c r="C31" s="14"/>
      <x:c r="D31" s="14"/>
      <x:c r="E31" s="14"/>
      <x:c r="F31" s="14"/>
      <x:c r="G31" s="14"/>
      <x:c r="H31" s="14"/>
    </x:row>
    <x:row r="32" ht="40" customHeight="1">
      <x:c r="A32" s="15" t="str">
        <x:v>Sumber rancangan</x:v>
      </x:c>
      <x:c r="B32" s="14" t="str">
        <x:v>Review Finance Lab 10 September 2026 dan permintaan rancangan tabel per menu 11 September 2026. Struktur layar, status dan contoh adalah usulan baru.</x:v>
      </x:c>
      <x:c r="C32" s="14"/>
      <x:c r="D32" s="14"/>
      <x:c r="E32" s="14"/>
      <x:c r="F32" s="14"/>
      <x:c r="G32" s="14"/>
      <x:c r="H32" s="14"/>
    </x:row>
    <x:row r="33" ht="40" customHeight="1">
      <x:c r="A33" s="15" t="str">
        <x:v>Batas bukti</x:v>
      </x:c>
      <x:c r="B33" s="14" t="str">
        <x:v>Tidak menyatakan semua fitur sudah tersedia. Contoh tiap tab berdiri sendiri kecuali ID sengaja dihubungkan. Angka bukan saldo perusahaan atau perhitungan pajak.</x:v>
      </x:c>
      <x:c r="C33" s="14"/>
      <x:c r="D33" s="14"/>
      <x:c r="E33" s="14"/>
      <x:c r="F33" s="14"/>
      <x:c r="G33" s="14"/>
      <x:c r="H33" s="14"/>
    </x:row>
    <x:row r="34" ht="40" customHeight="1">
      <x:c r="A34" s="15" t="str">
        <x:v>COA dan menu</x:v>
      </x:c>
      <x:c r="B34" s="14" t="str">
        <x:v>Penanggung jawab kontrol akun tidak selalu menu asal jurnal. Biaya bank dari akuisisi aset atau biaya housekeeping dari payroll tetap mengikuti dokumen sumber yang sah.</x:v>
      </x:c>
      <x:c r="C34" s="14"/>
      <x:c r="D34" s="14"/>
      <x:c r="E34" s="14"/>
      <x:c r="F34" s="14"/>
      <x:c r="G34" s="14"/>
      <x:c r="H34" s="14"/>
    </x:row>
  </x:sheetData>
  <x:mergeCells>
    <x:mergeCell ref="A1:H1"/>
    <x:mergeCell ref="A2:H3"/>
    <x:mergeCell ref="A17:H17"/>
    <x:mergeCell ref="A29:H29"/>
    <x:mergeCell ref="B30:H30"/>
    <x:mergeCell ref="B31:H31"/>
    <x:mergeCell ref="B32:H32"/>
    <x:mergeCell ref="B33:H33"/>
    <x:mergeCell ref="B34:H34"/>
  </x:mergeCells>
  <x:pageMargins left="0.7" right="0.7" top="0.75" bottom="0.75" header="0.3" footer="0.3"/>
  <x:tableParts count="2">
    <x:tablePart xmlns:r="http://schemas.openxmlformats.org/officeDocument/2006/relationships" r:id="R9ae7b2b9829642ff"/>
    <x:tablePart xmlns:r="http://schemas.openxmlformats.org/officeDocument/2006/relationships" r:id="R2fea551e7f214288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2" t="str">
        <x:v>Sidebar detail untuk seluruh tab Finance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3" t="str">
        <x:v>54 tab tercakup. Header selalu menunjukkan identitas dokumen, unit, versi dan status yang relevan. Kolom/subtab hanya tampil bila dibutuhkan oleh objeknya.</x:v>
      </x:c>
      <x:c r="B2" s="23"/>
      <x:c r="C2" s="23"/>
      <x:c r="D2" s="23"/>
      <x:c r="E2" s="23"/>
      <x:c r="F2" s="23"/>
      <x:c r="G2" s="23"/>
      <x:c r="H2" s="23"/>
    </x:row>
    <x:row r="3" ht="22" customHeight="1">
      <x:c r="A3" s="23"/>
      <x:c r="B3" s="23"/>
      <x:c r="C3" s="23"/>
      <x:c r="D3" s="23"/>
      <x:c r="E3" s="23"/>
      <x:c r="F3" s="23"/>
      <x:c r="G3" s="23"/>
      <x:c r="H3" s="23"/>
    </x:row>
    <x:row r="5" ht="38" customHeight="1">
      <x:c r="A5" s="25" t="str">
        <x:v>Menu / tab</x:v>
      </x:c>
      <x:c r="B5" s="25" t="str">
        <x:v>Header detail</x:v>
      </x:c>
      <x:c r="C5" s="25" t="str">
        <x:v>Bagian / subtab detail</x:v>
      </x:c>
      <x:c r="D5" s="25" t="str">
        <x:v>Isi yang dibuka</x:v>
      </x:c>
      <x:c r="E5" s="25" t="str">
        <x:v>Tabel anak</x:v>
      </x:c>
      <x:c r="F5" s="25" t="str">
        <x:v>Form terkait</x:v>
      </x:c>
      <x:c r="G5" s="25" t="str">
        <x:v>Bentuk layar</x:v>
      </x:c>
      <x:c r="H5" s="25" t="str">
        <x:v>Aturan sumber</x:v>
      </x:c>
    </x:row>
    <x:row r="6" ht="124" customHeight="1">
      <x:c r="A6" s="8" t="str">
        <x:v>Ringkasan / Hari ini</x:v>
      </x:c>
      <x:c r="B6" s="8" t="str">
        <x:v>Prioritas; Pekerjaan; Unit; Referensi; Nilai Rp; Batas waktu; Penanggung jawab; versi dokumen jika relevan</x:v>
      </x:c>
      <x:c r="C6" s="8" t="str">
        <x:v>Ringkasan pekerjaan; tenggat; pemilik; sumber</x:v>
      </x:c>
      <x:c r="D6" s="8" t="str">
        <x:v>Ringkasan penyebab, dokumen sumber, tenggat dan riwayat. Tidak ada form posting baru.</x:v>
      </x:c>
      <x:c r="E6" s="8" t="str">
        <x:v>S02</x:v>
      </x:c>
      <x:c r="F6" s="8" t="str">
        <x:v>—</x:v>
      </x:c>
      <x:c r="G6" s="8" t="str">
        <x:v>Sidebar detail; form sebagai mode terpisah</x:v>
      </x:c>
      <x:c r="H6" s="8" t="str">
        <x:v>Dokumen sumber tetap satu. Status approval, posting, pembayaran dan rekonsiliasi ditampilkan terpisah jika relevan. Data sensitif mengikuti hak.</x:v>
      </x:c>
    </x:row>
    <x:row r="7" ht="124" customHeight="1">
      <x:c r="A7" s="8" t="str">
        <x:v>Ringkasan / Persetujuan saya</x:v>
      </x:c>
      <x:c r="B7" s="8" t="str">
        <x:v>Dokumen; Jenis; Unit; Pengaju; Nilai Rp; Diajukan; Tahap; versi dokumen jika relevan</x:v>
      </x:c>
      <x:c r="C7" s="8" t="str">
        <x:v>Ringkasan dampak; rincian sumber; perubahan; bukti; keputusan</x:v>
      </x:c>
      <x:c r="D7" s="8" t="str">
        <x:v>Lampiran, rincian biaya, perubahan sejak pengajuan, dampak jurnal dan otorisasi. Aksi sesuai jenis dokumen.</x:v>
      </x:c>
      <x:c r="E7" s="8" t="str">
        <x:v>S01; S02</x:v>
      </x:c>
      <x:c r="F7" s="8" t="str">
        <x:v>F01</x:v>
      </x:c>
      <x:c r="G7" s="8" t="str">
        <x:v>Sidebar detail; form sebagai mode terpisah</x:v>
      </x:c>
      <x:c r="H7" s="8" t="str">
        <x:v>Dokumen sumber tetap satu. Status approval, posting, pembayaran dan rekonsiliasi ditampilkan terpisah jika relevan. Data sensitif mengikuti hak.</x:v>
      </x:c>
    </x:row>
    <x:row r="8" ht="124" customHeight="1">
      <x:c r="A8" s="8" t="str">
        <x:v>Ringkasan / Pengecualian</x:v>
      </x:c>
      <x:c r="B8" s="8" t="str">
        <x:v>Kasus; Jenis masalah; Unit; Referensi; Ditemukan; Penanggung jawab; Status; versi dokumen jika relevan</x:v>
      </x:c>
      <x:c r="C8" s="8" t="str">
        <x:v>Penyebab; dampak; owner; tindak lanjut; bukti</x:v>
      </x:c>
      <x:c r="D8" s="8" t="str">
        <x:v>Penyebab, dampak, bukti perbaikan, sumber transaksi. Status teratasi harus mengikuti hasil perbaikan.</x:v>
      </x:c>
      <x:c r="E8" s="8" t="str">
        <x:v>S13; S02</x:v>
      </x:c>
      <x:c r="F8" s="8" t="str">
        <x:v>F19</x:v>
      </x:c>
      <x:c r="G8" s="8" t="str">
        <x:v>Sidebar detail; form sebagai mode terpisah</x:v>
      </x:c>
      <x:c r="H8" s="8" t="str">
        <x:v>Dokumen sumber tetap satu. Status approval, posting, pembayaran dan rekonsiliasi ditampilkan terpisah jika relevan. Data sensitif mengikuti hak.</x:v>
      </x:c>
    </x:row>
    <x:row r="9" ht="124" customHeight="1">
      <x:c r="A9" s="8" t="str">
        <x:v>Kas &amp; Bank / Rekening &amp; kas</x:v>
      </x:c>
      <x:c r="B9" s="8" t="str">
        <x:v>Rekening; Unit; Jenis; Mata uang; Saldo buku Rp; Saldo bank Rp; Tanggal bank; versi dokumen jika relevan</x:v>
      </x:c>
      <x:c r="C9" s="8" t="str">
        <x:v>Identitas rekening; saldo buku/bank; mutasi; rekonsiliasi</x:v>
      </x:c>
      <x:c r="D9" s="8" t="str">
        <x:v>Identitas rekening, saldo, mutasi, rekonsiliasi dan akses. Perubahan master membuka Pengaturan Finance.</x:v>
      </x:c>
      <x:c r="E9" s="8" t="str">
        <x:v>S04</x:v>
      </x:c>
      <x:c r="F9" s="8" t="str">
        <x:v>F33, F04</x:v>
      </x:c>
      <x:c r="G9" s="8" t="str">
        <x:v>Sidebar detail; form sebagai mode terpisah</x:v>
      </x:c>
      <x:c r="H9" s="8" t="str">
        <x:v>Dokumen sumber tetap satu. Status approval, posting, pembayaran dan rekonsiliasi ditampilkan terpisah jika relevan. Data sensitif mengikuti hak.</x:v>
      </x:c>
    </x:row>
    <x:row r="10" ht="124" customHeight="1">
      <x:c r="A10" s="8" t="str">
        <x:v>Kas &amp; Bank / Pembayaran &amp; penerimaan</x:v>
      </x:c>
      <x:c r="B10" s="8" t="str">
        <x:v>ID pembayaran; Tanggal; Unit; Arah; Pihak; Nilai Rp; Status; Dokumen sumber; versi dokumen jika relevan</x:v>
      </x:c>
      <x:c r="C10" s="8" t="str">
        <x:v>Pihak/rekening/metode; alokasi; bukti; jurnal; riwayat</x:v>
      </x:c>
      <x:c r="D10" s="8" t="str">
        <x:v>Rekening, metode, nominal, alokasi dokumen, referensi bank, bukti, jurnal. Beberapa tagihan boleh satu pembayaran dengan rincian alokasi.</x:v>
      </x:c>
      <x:c r="E10" s="8" t="str">
        <x:v>S03; S04; S20; S02</x:v>
      </x:c>
      <x:c r="F10" s="8" t="str">
        <x:v>F02, F03, F01</x:v>
      </x:c>
      <x:c r="G10" s="8" t="str">
        <x:v>Sidebar detail; form sebagai mode terpisah</x:v>
      </x:c>
      <x:c r="H10" s="8" t="str">
        <x:v>Dokumen sumber tetap satu. Status approval, posting, pembayaran dan rekonsiliasi ditampilkan terpisah jika relevan. Data sensitif mengikuti hak.</x:v>
      </x:c>
    </x:row>
    <x:row r="11" ht="124" customHeight="1">
      <x:c r="A11" s="8" t="str">
        <x:v>Kas &amp; Bank / Transfer &amp; kas kecil</x:v>
      </x:c>
      <x:c r="B11" s="8" t="str">
        <x:v>Transfer; Tanggal; Dari; Ke; Nilai Rp; Biaya Rp; Status; versi dokumen jika relevan</x:v>
      </x:c>
      <x:c r="C11" s="8" t="str">
        <x:v>Asal/tujuan; nominal/biaya; bukti kirim-terima; mutasi</x:v>
      </x:c>
      <x:c r="D11" s="8" t="str">
        <x:v>Kedua rekening, bukti penyerahan, biaya dan pasangan mutasi. Transfer beda unit diarahkan ke Antarunit.</x:v>
      </x:c>
      <x:c r="E11" s="8" t="str">
        <x:v>S03; S04; S20</x:v>
      </x:c>
      <x:c r="F11" s="8" t="str">
        <x:v>F04, F01</x:v>
      </x:c>
      <x:c r="G11" s="8" t="str">
        <x:v>Sidebar detail; form sebagai mode terpisah</x:v>
      </x:c>
      <x:c r="H11" s="8" t="str">
        <x:v>Dokumen sumber tetap satu. Status approval, posting, pembayaran dan rekonsiliasi ditampilkan terpisah jika relevan. Data sensitif mengikuti hak.</x:v>
      </x:c>
    </x:row>
    <x:row r="12" ht="124" customHeight="1">
      <x:c r="A12" s="8" t="str">
        <x:v>Kas &amp; Bank / Giro</x:v>
      </x:c>
      <x:c r="B12" s="8" t="str">
        <x:v>Giro; Bank; Unit; Penerima; Nilai Rp; Jatuh tempo; Status; Sumber; versi dokumen jika relevan</x:v>
      </x:c>
      <x:c r="C12" s="8" t="str">
        <x:v>Instrumen/bank; alokasi; jatuh tempo; kejadian cair/ditolak; jurnal</x:v>
      </x:c>
      <x:c r="D12" s="8" t="str">
        <x:v>Nomor instrumen, bank, penerima, alokasi tagihan, outstanding giro, jurnal penerbitan/pencairan/pembalikan.</x:v>
      </x:c>
      <x:c r="E12" s="8" t="str">
        <x:v>S03; S04; S20; S02</x:v>
      </x:c>
      <x:c r="F12" s="8" t="str">
        <x:v>F05, F01</x:v>
      </x:c>
      <x:c r="G12" s="8" t="str">
        <x:v>Sidebar detail; form sebagai mode terpisah</x:v>
      </x:c>
      <x:c r="H12" s="8" t="str">
        <x:v>Dokumen sumber tetap satu. Status approval, posting, pembayaran dan rekonsiliasi ditampilkan terpisah jika relevan. Data sensitif mengikuti hak.</x:v>
      </x:c>
    </x:row>
    <x:row r="13" ht="124" customHeight="1">
      <x:c r="A13" s="8" t="str">
        <x:v>Kas &amp; Bank / Rekonsiliasi</x:v>
      </x:c>
      <x:c r="B13" s="8" t="str">
        <x:v>Baris bank; Tanggal; Rekening; Uraian; Nilai Rp; Pasangan buku; Status; versi dokumen jika relevan</x:v>
      </x:c>
      <x:c r="C13" s="8" t="str">
        <x:v>Baris bank; kandidat buku; alokasi; selisih; riwayat</x:v>
      </x:c>
      <x:c r="D13" s="8" t="str">
        <x:v>Baris bank, kandidat buku, jumlah alokasi, alasan selisih. Biaya dari mutasi memakai sumber bank unik agar tidak terduplikasi.</x:v>
      </x:c>
      <x:c r="E13" s="8" t="str">
        <x:v>S05; S04</x:v>
      </x:c>
      <x:c r="F13" s="8" t="str">
        <x:v>F06</x:v>
      </x:c>
      <x:c r="G13" s="8" t="str">
        <x:v>Halaman rekonsiliasi dua panel; detail baris bank di samping</x:v>
      </x:c>
      <x:c r="H13" s="8" t="str">
        <x:v>Dokumen sumber tetap satu. Status approval, posting, pembayaran dan rekonsiliasi ditampilkan terpisah jika relevan. Data sensitif mengikuti hak.</x:v>
      </x:c>
    </x:row>
    <x:row r="14" ht="124" customHeight="1">
      <x:c r="A14" s="8" t="str">
        <x:v>Tagihan &amp; Pengeluaran / Tagihan</x:v>
      </x:c>
      <x:c r="B14" s="8" t="str">
        <x:v>Tagihan; Vendor; Unit; Tanggal; Jatuh tempo; Total Rp; Sisa Rp; Status; versi dokumen jika relevan</x:v>
      </x:c>
      <x:c r="C14" s="8" t="str">
        <x:v>Header vendor/nomor/tempo; rincian; sumber pembelian; pajak; pembayaran; jurnal</x:v>
      </x:c>
      <x:c r="D14" s="8" t="str">
        <x:v>Header vendor, baris barang/jasa/biaya, pajak, PO/penerimaan jika ada, lampiran, pembayaran, jurnal, riwayat.</x:v>
      </x:c>
      <x:c r="E14" s="8" t="str">
        <x:v>S06; S07; S03; S20; S02</x:v>
      </x:c>
      <x:c r="F14" s="8" t="str">
        <x:v>F07, F02, F01</x:v>
      </x:c>
      <x:c r="G14" s="8" t="str">
        <x:v>Sidebar detail; form sebagai mode terpisah</x:v>
      </x:c>
      <x:c r="H14" s="8" t="str">
        <x:v>Dokumen sumber tetap satu. Status approval, posting, pembayaran dan rekonsiliasi ditampilkan terpisah jika relevan. Data sensitif mengikuti hak.</x:v>
      </x:c>
    </x:row>
    <x:row r="15" ht="124" customHeight="1">
      <x:c r="A15" s="8" t="str">
        <x:v>Tagihan &amp; Pengeluaran / Klaim &amp; pengeluaran</x:v>
      </x:c>
      <x:c r="B15" s="8" t="str">
        <x:v>Klaim; Pengaju; Unit; Keperluan; Nilai Rp; Tanggal; Status; versi dokumen jika relevan</x:v>
      </x:c>
      <x:c r="C15" s="8" t="str">
        <x:v>Pengaju/keperluan; bukti per baris; keputusan; pembayaran</x:v>
      </x:c>
      <x:c r="D15" s="8" t="str">
        <x:v>Rincian per bukti, kategori, pusat biaya, pajak bila relevan, pembayaran dan jurnal.</x:v>
      </x:c>
      <x:c r="E15" s="8" t="str">
        <x:v>S06; S01; S03; S20</x:v>
      </x:c>
      <x:c r="F15" s="8" t="str">
        <x:v>F08, F02, F01</x:v>
      </x:c>
      <x:c r="G15" s="8" t="str">
        <x:v>Sidebar detail; form sebagai mode terpisah</x:v>
      </x:c>
      <x:c r="H15" s="8" t="str">
        <x:v>Dokumen sumber tetap satu. Status approval, posting, pembayaran dan rekonsiliasi ditampilkan terpisah jika relevan. Data sensitif mengikuti hak.</x:v>
      </x:c>
    </x:row>
    <x:row r="16" ht="124" customHeight="1">
      <x:c r="A16" s="8" t="str">
        <x:v>Tagihan &amp; Pengeluaran / Uang muka</x:v>
      </x:c>
      <x:c r="B16" s="8" t="str">
        <x:v>Uang muka; Pemegang; Unit; Tujuan; Diberikan Rp; Dipertanggungjawabkan Rp; Sisa Rp; Status; versi dokumen jika relevan</x:v>
      </x:c>
      <x:c r="C16" s="8" t="str">
        <x:v>Pemegang/tujuan; pencairan; biaya aktual; pengembalian; sisa</x:v>
      </x:c>
      <x:c r="D16" s="8" t="str">
        <x:v>Rincian biaya aktual, pengembalian, tambahan penggantian, bukti dan tautan pembayaran. Piutang pinjaman pegawai ada di Payroll.</x:v>
      </x:c>
      <x:c r="E16" s="8" t="str">
        <x:v>S08; S03; S20</x:v>
      </x:c>
      <x:c r="F16" s="8" t="str">
        <x:v>F09, F10, F02, F03, F01</x:v>
      </x:c>
      <x:c r="G16" s="8" t="str">
        <x:v>Sidebar detail; form sebagai mode terpisah</x:v>
      </x:c>
      <x:c r="H16" s="8" t="str">
        <x:v>Dokumen sumber tetap satu. Status approval, posting, pembayaran dan rekonsiliasi ditampilkan terpisah jika relevan. Data sensitif mengikuti hak.</x:v>
      </x:c>
    </x:row>
    <x:row r="17" ht="124" customHeight="1">
      <x:c r="A17" s="8" t="str">
        <x:v>Tagihan &amp; Pengeluaran / Biaya dibayar di muka</x:v>
      </x:c>
      <x:c r="B17" s="8" t="str">
        <x:v>Jadwal; Jenis; Unit; Mulai; Akhir; Nilai awal Rp; Saldo Rp; Status; versi dokumen jika relevan</x:v>
      </x:c>
      <x:c r="C17" s="8" t="str">
        <x:v>Sumber tagihan; masa manfaat; jadwal; pengakuan; saldo</x:v>
      </x:c>
      <x:c r="D17" s="8" t="str">
        <x:v>Dokumen asal, masa manfaat, jadwal per periode, jurnal pengakuan, perubahan dan alasan. Posting bulanan dikendalikan Akuntansi.</x:v>
      </x:c>
      <x:c r="E17" s="8" t="str">
        <x:v>S09; S06; S20</x:v>
      </x:c>
      <x:c r="F17" s="8" t="str">
        <x:v>F11, F22, F01</x:v>
      </x:c>
      <x:c r="G17" s="8" t="str">
        <x:v>Sidebar detail; form sebagai mode terpisah</x:v>
      </x:c>
      <x:c r="H17" s="8" t="str">
        <x:v>Dokumen sumber tetap satu. Status approval, posting, pembayaran dan rekonsiliasi ditampilkan terpisah jika relevan. Data sensitif mengikuti hak.</x:v>
      </x:c>
    </x:row>
    <x:row r="18" ht="124" customHeight="1">
      <x:c r="A18" s="8" t="str">
        <x:v>Penjualan &amp; Piutang / Penjualan</x:v>
      </x:c>
      <x:c r="B18" s="8" t="str">
        <x:v>Sumber penjualan; Tanggal; Unit; Kanal; Bruto Rp; Potongan Rp; Neto Rp; Status; versi dokumen jika relevan</x:v>
      </x:c>
      <x:c r="C18" s="8" t="str">
        <x:v>Penjualan sumber; tender/kanal; potongan; retur; jurnal</x:v>
      </x:c>
      <x:c r="D18" s="8" t="str">
        <x:v>Transaksi sumber, rincian penjualan, pajak bila relevan, tender pembayaran, retur dan jurnal.</x:v>
      </x:c>
      <x:c r="E18" s="8" t="str">
        <x:v>S10; S07; S20</x:v>
      </x:c>
      <x:c r="F18" s="8" t="str">
        <x:v>F35</x:v>
      </x:c>
      <x:c r="G18" s="8" t="str">
        <x:v>Sidebar detail; form sebagai mode terpisah</x:v>
      </x:c>
      <x:c r="H18" s="8" t="str">
        <x:v>Dokumen sumber tetap satu. Status approval, posting, pembayaran dan rekonsiliasi ditampilkan terpisah jika relevan. Data sensitif mengikuti hak.</x:v>
      </x:c>
    </x:row>
    <x:row r="19" ht="124" customHeight="1">
      <x:c r="A19" s="8" t="str">
        <x:v>Penjualan &amp; Piutang / Tagihan &amp; piutang</x:v>
      </x:c>
      <x:c r="B19" s="8" t="str">
        <x:v>Invoice; Pelanggan; Unit; Jenis; Jatuh tempo; Total Rp; Sisa Rp; Status; versi dokumen jika relevan</x:v>
      </x:c>
      <x:c r="C19" s="8" t="str">
        <x:v>Pelanggan/tempo; jasa/barang; kredit; penerimaan; sisa</x:v>
      </x:c>
      <x:c r="D19" s="8" t="str">
        <x:v>Rincian jasa, dasar pendapatan, pajak, nota kredit, alokasi penerimaan dan jurnal. Management fee hanya bila dasar bisnis dikonfirmasi.</x:v>
      </x:c>
      <x:c r="E19" s="8" t="str">
        <x:v>S06; S07; S03; S20</x:v>
      </x:c>
      <x:c r="F19" s="8" t="str">
        <x:v>F12, F03, F01</x:v>
      </x:c>
      <x:c r="G19" s="8" t="str">
        <x:v>Sidebar detail; form sebagai mode terpisah</x:v>
      </x:c>
      <x:c r="H19" s="8" t="str">
        <x:v>Dokumen sumber tetap satu. Status approval, posting, pembayaran dan rekonsiliasi ditampilkan terpisah jika relevan. Data sensitif mengikuti hak.</x:v>
      </x:c>
    </x:row>
    <x:row r="20" ht="124" customHeight="1">
      <x:c r="A20" s="8" t="str">
        <x:v>Penjualan &amp; Piutang / Settlement kanal</x:v>
      </x:c>
      <x:c r="B20" s="8" t="str">
        <x:v>Settlement; Kanal; Unit; Bruto Rp; Biaya Rp; Neto Rp; Diterima Rp; Status; versi dokumen jika relevan</x:v>
      </x:c>
      <x:c r="C20" s="8" t="str">
        <x:v>Kanal/batch; penjualan; biaya; neto; penerimaan; selisih</x:v>
      </x:c>
      <x:c r="D20" s="8" t="str">
        <x:v>Transaksi penjualan, potongan, biaya kanal, penerimaan RCPT-001, rekonsiliasi dan jurnal. Biaya tidak dibuat ulang sebagai tagihan.</x:v>
      </x:c>
      <x:c r="E20" s="8" t="str">
        <x:v>S10; S03; S05; S20</x:v>
      </x:c>
      <x:c r="F20" s="8" t="str">
        <x:v>F13, F03, F01</x:v>
      </x:c>
      <x:c r="G20" s="8" t="str">
        <x:v>Sidebar detail; form sebagai mode terpisah</x:v>
      </x:c>
      <x:c r="H20" s="8" t="str">
        <x:v>Dokumen sumber tetap satu. Status approval, posting, pembayaran dan rekonsiliasi ditampilkan terpisah jika relevan. Data sensitif mengikuti hak.</x:v>
      </x:c>
    </x:row>
    <x:row r="21" ht="124" customHeight="1">
      <x:c r="A21" s="8" t="str">
        <x:v>Penjualan &amp; Piutang / Uang muka &amp; pengembalian</x:v>
      </x:c>
      <x:c r="B21" s="8" t="str">
        <x:v>Dokumen; Pelanggan; Unit; Jenis; Nilai Rp; Dialokasikan Rp; Status; Sumber; versi dokumen jika relevan</x:v>
      </x:c>
      <x:c r="C21" s="8" t="str">
        <x:v>Pelanggan/sumber; uang muka/retur; alokasi; refund</x:v>
      </x:c>
      <x:c r="D21" s="8" t="str">
        <x:v>Pesanan/penjualan asli, uang diterima, alokasi invoice, persetujuan refund dan pembayaran terkait.</x:v>
      </x:c>
      <x:c r="E21" s="8" t="str">
        <x:v>S03; S06; S20</x:v>
      </x:c>
      <x:c r="F21" s="8" t="str">
        <x:v>F14, F02, F03, F01</x:v>
      </x:c>
      <x:c r="G21" s="8" t="str">
        <x:v>Sidebar detail; form sebagai mode terpisah</x:v>
      </x:c>
      <x:c r="H21" s="8" t="str">
        <x:v>Dokumen sumber tetap satu. Status approval, posting, pembayaran dan rekonsiliasi ditampilkan terpisah jika relevan. Data sensitif mengikuti hak.</x:v>
      </x:c>
    </x:row>
    <x:row r="22" ht="124" customHeight="1">
      <x:c r="A22" s="8" t="str">
        <x:v>Persediaan / Saldo &amp; mutasi</x:v>
      </x:c>
      <x:c r="B22" s="8" t="str">
        <x:v>Barang/kelompok; Unit; Satuan; Kuantitas; Nilai Rp; Tanggal posisi; Status; versi dokumen jika relevan</x:v>
      </x:c>
      <x:c r="C22" s="8" t="str">
        <x:v>Barang/unit/tanggal posisi; kuantitas/nilai; mutasi; sumber</x:v>
      </x:c>
      <x:c r="D22" s="8" t="str">
        <x:v>Mutasi kuantitas, nilai, penerimaan, pemakaian, metode penilaian yang disahkan dan jurnal terkait.</x:v>
      </x:c>
      <x:c r="E22" s="8" t="str">
        <x:v>S11; S20</x:v>
      </x:c>
      <x:c r="F22" s="8" t="str">
        <x:v>—</x:v>
      </x:c>
      <x:c r="G22" s="8" t="str">
        <x:v>Sidebar detail; form sebagai mode terpisah</x:v>
      </x:c>
      <x:c r="H22" s="8" t="str">
        <x:v>Dokumen sumber tetap satu. Status approval, posting, pembayaran dan rekonsiliasi ditampilkan terpisah jika relevan. Data sensitif mengikuti hak.</x:v>
      </x:c>
    </x:row>
    <x:row r="23" ht="124" customHeight="1">
      <x:c r="A23" s="8" t="str">
        <x:v>Persediaan / Penerimaan &amp; pemakaian</x:v>
      </x:c>
      <x:c r="B23" s="8" t="str">
        <x:v>Dokumen; Tanggal; Unit; Jenis; Barang; Kuantitas; Nilai Rp; Status; versi dokumen jika relevan</x:v>
      </x:c>
      <x:c r="C23" s="8" t="str">
        <x:v>Dokumen operasi; rincian kuantitas/nilai; invoice; jurnal</x:v>
      </x:c>
      <x:c r="D23" s="8" t="str">
        <x:v>Baris barang, sumber operasional, penerimaan fisik, harga/nilai dan tautan tagihan.</x:v>
      </x:c>
      <x:c r="E23" s="8" t="str">
        <x:v>S11; S06; S20</x:v>
      </x:c>
      <x:c r="F23" s="8" t="str">
        <x:v>F15, F07, F01</x:v>
      </x:c>
      <x:c r="G23" s="8" t="str">
        <x:v>Sidebar detail; form sebagai mode terpisah</x:v>
      </x:c>
      <x:c r="H23" s="8" t="str">
        <x:v>Dokumen sumber tetap satu. Status approval, posting, pembayaran dan rekonsiliasi ditampilkan terpisah jika relevan. Data sensitif mengikuti hak.</x:v>
      </x:c>
    </x:row>
    <x:row r="24" ht="124" customHeight="1">
      <x:c r="A24" s="8" t="str">
        <x:v>Persediaan / Dalam perjalanan</x:v>
      </x:c>
      <x:c r="B24" s="8" t="str">
        <x:v>Pengiriman; Dari; Ke; Tanggal kirim; Nilai Rp; Diterima Rp; Status; versi dokumen jika relevan</x:v>
      </x:c>
      <x:c r="C24" s="8" t="str">
        <x:v>Asal/tujuan; barang kirim/terima; bukti; nilai transit; pasangan</x:v>
      </x:c>
      <x:c r="D24" s="8" t="str">
        <x:v>Barang kirim/terima, bukti fisik, nilai transit dan referensi pasangan Antarunit.</x:v>
      </x:c>
      <x:c r="E24" s="8" t="str">
        <x:v>S11; S12; S20</x:v>
      </x:c>
      <x:c r="F24" s="8" t="str">
        <x:v>F16, F19</x:v>
      </x:c>
      <x:c r="G24" s="8" t="str">
        <x:v>Sidebar detail; form sebagai mode terpisah</x:v>
      </x:c>
      <x:c r="H24" s="8" t="str">
        <x:v>Dokumen sumber tetap satu. Status approval, posting, pembayaran dan rekonsiliasi ditampilkan terpisah jika relevan. Data sensitif mengikuti hak.</x:v>
      </x:c>
    </x:row>
    <x:row r="25" ht="124" customHeight="1">
      <x:c r="A25" s="8" t="str">
        <x:v>Persediaan / Opname &amp; penyesuaian</x:v>
      </x:c>
      <x:c r="B25" s="8" t="str">
        <x:v>Opname; Unit; Barang; Buku qty; Fisik qty; Selisih qty; Dampak Rp; Status; versi dokumen jika relevan</x:v>
      </x:c>
      <x:c r="C25" s="8" t="str">
        <x:v>Snapshot buku; hitung fisik; selisih; alasan; keputusan; jurnal</x:v>
      </x:c>
      <x:c r="D25" s="8" t="str">
        <x:v>Hasil hitung, bukti, sebab selisih, penanggung jawab, nilai dampak dan jurnal.</x:v>
      </x:c>
      <x:c r="E25" s="8" t="str">
        <x:v>S11; S01; S20</x:v>
      </x:c>
      <x:c r="F25" s="8" t="str">
        <x:v>F17, F01</x:v>
      </x:c>
      <x:c r="G25" s="8" t="str">
        <x:v>Sidebar detail; form sebagai mode terpisah</x:v>
      </x:c>
      <x:c r="H25" s="8" t="str">
        <x:v>Dokumen sumber tetap satu. Status approval, posting, pembayaran dan rekonsiliasi ditampilkan terpisah jika relevan. Data sensitif mengikuti hak.</x:v>
      </x:c>
    </x:row>
    <x:row r="26" ht="124" customHeight="1">
      <x:c r="A26" s="8" t="str">
        <x:v>Antarunit / Saldo &amp; pasangan</x:v>
      </x:c>
      <x:c r="B26" s="8" t="str">
        <x:v>Pasangan; Unit; Lawan; Jenis hubungan; Saldo unit Rp; Saldo lawan Rp; Selisih Rp; Status; versi dokumen jika relevan</x:v>
      </x:c>
      <x:c r="C26" s="8" t="str">
        <x:v>Pasangan unit; jenis hubungan; dua sisi saldo; selisih</x:v>
      </x:c>
      <x:c r="D26" s="8" t="str">
        <x:v>Rincian masing-masing pihak, jenis akun, sumber, mata uang, periode dan dasar eliminasi.</x:v>
      </x:c>
      <x:c r="E26" s="8" t="str">
        <x:v>S12; S13</x:v>
      </x:c>
      <x:c r="F26" s="8" t="str">
        <x:v>F19</x:v>
      </x:c>
      <x:c r="G26" s="8" t="str">
        <x:v>Sidebar detail; form sebagai mode terpisah</x:v>
      </x:c>
      <x:c r="H26" s="8" t="str">
        <x:v>Dokumen sumber tetap satu. Status approval, posting, pembayaran dan rekonsiliasi ditampilkan terpisah jika relevan. Data sensitif mengikuti hak.</x:v>
      </x:c>
    </x:row>
    <x:row r="27" ht="124" customHeight="1">
      <x:c r="A27" s="8" t="str">
        <x:v>Antarunit / Transaksi</x:v>
      </x:c>
      <x:c r="B27" s="8" t="str">
        <x:v>Transaksi; Tanggal; Dari; Ke; Jenis; Nilai Rp; Sumber; Status; versi dokumen jika relevan</x:v>
      </x:c>
      <x:c r="C27" s="8" t="str">
        <x:v>Jenis hubungan; sumber; kedua pihak; nominal; pasangan jurnal</x:v>
      </x:c>
      <x:c r="D27" s="8" t="str">
        <x:v>Dokumen sumber, dasar pembebanan, jenis hubungan dan jurnal dua pihak. Barang tidak dibuat ulang di sini.</x:v>
      </x:c>
      <x:c r="E27" s="8" t="str">
        <x:v>S12; S20</x:v>
      </x:c>
      <x:c r="F27" s="8" t="str">
        <x:v>F18, F01</x:v>
      </x:c>
      <x:c r="G27" s="8" t="str">
        <x:v>Sidebar detail; form sebagai mode terpisah</x:v>
      </x:c>
      <x:c r="H27" s="8" t="str">
        <x:v>Dokumen sumber tetap satu. Status approval, posting, pembayaran dan rekonsiliasi ditampilkan terpisah jika relevan. Data sensitif mengikuti hak.</x:v>
      </x:c>
    </x:row>
    <x:row r="28" ht="124" customHeight="1">
      <x:c r="A28" s="8" t="str">
        <x:v>Antarunit / Penyelesaian</x:v>
      </x:c>
      <x:c r="B28" s="8" t="str">
        <x:v>Penyelesaian; Pembayar; Penerima; Jenis saldo; Nilai Rp; Pembayaran; Tanggal; Status; versi dokumen jika relevan</x:v>
      </x:c>
      <x:c r="C28" s="8" t="str">
        <x:v>Saldo dipilih; keluarga; nominal; payment; alokasi dua pihak</x:v>
      </x:c>
      <x:c r="D28" s="8" t="str">
        <x:v>Saldo tujuan, jenis hubungan, pembayaran, alokasi nominal dan jurnal dua pihak.</x:v>
      </x:c>
      <x:c r="E28" s="8" t="str">
        <x:v>S12; S03; S20</x:v>
      </x:c>
      <x:c r="F28" s="8" t="str">
        <x:v>F18, F02, F03, F01</x:v>
      </x:c>
      <x:c r="G28" s="8" t="str">
        <x:v>Sidebar detail; form sebagai mode terpisah</x:v>
      </x:c>
      <x:c r="H28" s="8" t="str">
        <x:v>Dokumen sumber tetap satu. Status approval, posting, pembayaran dan rekonsiliasi ditampilkan terpisah jika relevan. Data sensitif mengikuti hak.</x:v>
      </x:c>
    </x:row>
    <x:row r="29" ht="124" customHeight="1">
      <x:c r="A29" s="8" t="str">
        <x:v>Antarunit / Rekonsiliasi</x:v>
      </x:c>
      <x:c r="B29" s="8" t="str">
        <x:v>Kasus; Unit; Lawan; Periode; Dokumen; Selisih Rp; Penyebab; Status; versi dokumen jika relevan</x:v>
      </x:c>
      <x:c r="C29" s="8" t="str">
        <x:v>Selisih dua pihak; bukti; sebab; koreksi sumber; kesimpulan</x:v>
      </x:c>
      <x:c r="D29" s="8" t="str">
        <x:v>Bukti dua pihak, perbedaan waktu/nilai, tindakan pada sumber. Tidak membuat jurnal selisih otomatis tanpa dasar.</x:v>
      </x:c>
      <x:c r="E29" s="8" t="str">
        <x:v>S13; S12</x:v>
      </x:c>
      <x:c r="F29" s="8" t="str">
        <x:v>F19</x:v>
      </x:c>
      <x:c r="G29" s="8" t="str">
        <x:v>Sidebar detail; form sebagai mode terpisah</x:v>
      </x:c>
      <x:c r="H29" s="8" t="str">
        <x:v>Dokumen sumber tetap satu. Status approval, posting, pembayaran dan rekonsiliasi ditampilkan terpisah jika relevan. Data sensitif mengikuti hak.</x:v>
      </x:c>
    </x:row>
    <x:row r="30" ht="124" customHeight="1">
      <x:c r="A30" s="8" t="str">
        <x:v>Aset &amp; Proyek / Daftar aset</x:v>
      </x:c>
      <x:c r="B30" s="8" t="str">
        <x:v>Aset; Nama; Unit; Kelas; Perolehan Rp; Akumulasi Rp; Nilai buku Rp; Status; versi dokumen jika relevan</x:v>
      </x:c>
      <x:c r="C30" s="8" t="str">
        <x:v>Identitas aset; biaya sumber; siap pakai; penyusutan; pergerakan</x:v>
      </x:c>
      <x:c r="D30" s="8" t="str">
        <x:v>Sumber biaya, tanggal siap pakai, umur manfaat, penanggung jawab, jadwal, perpindahan dan jurnal.</x:v>
      </x:c>
      <x:c r="E30" s="8" t="str">
        <x:v>S14; S09; S20</x:v>
      </x:c>
      <x:c r="F30" s="8" t="str">
        <x:v>F20, F21</x:v>
      </x:c>
      <x:c r="G30" s="8" t="str">
        <x:v>Sidebar detail; form sebagai mode terpisah</x:v>
      </x:c>
      <x:c r="H30" s="8" t="str">
        <x:v>Dokumen sumber tetap satu. Status approval, posting, pembayaran dan rekonsiliasi ditampilkan terpisah jika relevan. Data sensitif mengikuti hak.</x:v>
      </x:c>
    </x:row>
    <x:row r="31" ht="124" customHeight="1">
      <x:c r="A31" s="8" t="str">
        <x:v>Aset &amp; Proyek / Proyek berjalan</x:v>
      </x:c>
      <x:c r="B31" s="8" t="str">
        <x:v>Proyek; Unit; Penanggung jawab; Mulai; Biaya Rp; Dikapitalisasi Rp; Sisa Rp; Status; versi dokumen jika relevan</x:v>
      </x:c>
      <x:c r="C31" s="8" t="str">
        <x:v>Proyek/owner; biaya; alokasi; kesiapan kapitalisasi; sisa</x:v>
      </x:c>
      <x:c r="D31" s="8" t="str">
        <x:v>Baris biaya sumber, komponen aset, bukti siap pakai dan biaya yang dibebankan.</x:v>
      </x:c>
      <x:c r="E31" s="8" t="str">
        <x:v>S15; S14; S06</x:v>
      </x:c>
      <x:c r="F31" s="8" t="str">
        <x:v>F20, F01</x:v>
      </x:c>
      <x:c r="G31" s="8" t="str">
        <x:v>Sidebar detail; form sebagai mode terpisah</x:v>
      </x:c>
      <x:c r="H31" s="8" t="str">
        <x:v>Dokumen sumber tetap satu. Status approval, posting, pembayaran dan rekonsiliasi ditampilkan terpisah jika relevan. Data sensitif mengikuti hak.</x:v>
      </x:c>
    </x:row>
    <x:row r="32" ht="124" customHeight="1">
      <x:c r="A32" s="8" t="str">
        <x:v>Aset &amp; Proyek / Penyusutan &amp; amortisasi</x:v>
      </x:c>
      <x:c r="B32" s="8" t="str">
        <x:v>Aset/jadwal; Unit; Periode; Dasar Rp; Beban periode Rp; Sisa Rp; Status; versi dokumen jika relevan</x:v>
      </x:c>
      <x:c r="C32" s="8" t="str">
        <x:v>Dasar aset; metode; jadwal; periode; jurnal</x:v>
      </x:c>
      <x:c r="D32" s="8" t="str">
        <x:v>Dasar hitung, masa manfaat dan kebijakan, perubahan, jurnal. Angka contoh bukan kebijakan umur manfaat perusahaan.</x:v>
      </x:c>
      <x:c r="E32" s="8" t="str">
        <x:v>S09; S20</x:v>
      </x:c>
      <x:c r="F32" s="8" t="str">
        <x:v>F22</x:v>
      </x:c>
      <x:c r="G32" s="8" t="str">
        <x:v>Sidebar detail; form sebagai mode terpisah</x:v>
      </x:c>
      <x:c r="H32" s="8" t="str">
        <x:v>Dokumen sumber tetap satu. Status approval, posting, pembayaran dan rekonsiliasi ditampilkan terpisah jika relevan. Data sensitif mengikuti hak.</x:v>
      </x:c>
    </x:row>
    <x:row r="33" ht="124" customHeight="1">
      <x:c r="A33" s="8" t="str">
        <x:v>Aset &amp; Proyek / Transfer &amp; pelepasan</x:v>
      </x:c>
      <x:c r="B33" s="8" t="str">
        <x:v>Dokumen; Aset; Jenis; Dari; Ke/pihak; Nilai buku Rp; Tanggal; Status; versi dokumen jika relevan</x:v>
      </x:c>
      <x:c r="C33" s="8" t="str">
        <x:v>Aset/saldo; tindakan; tujuan; dasar; serah terima; uang</x:v>
      </x:c>
      <x:c r="D33" s="8" t="str">
        <x:v>Persetujuan, nilai buku, penerimaan jika dijual, laba/rugi dan pasangan Antarunit jika relevan.</x:v>
      </x:c>
      <x:c r="E33" s="8" t="str">
        <x:v>S14; S03; S12; S20</x:v>
      </x:c>
      <x:c r="F33" s="8" t="str">
        <x:v>F21, F03, F01</x:v>
      </x:c>
      <x:c r="G33" s="8" t="str">
        <x:v>Sidebar detail; form sebagai mode terpisah</x:v>
      </x:c>
      <x:c r="H33" s="8" t="str">
        <x:v>Dokumen sumber tetap satu. Status approval, posting, pembayaran dan rekonsiliasi ditampilkan terpisah jika relevan. Data sensitif mengikuti hak.</x:v>
      </x:c>
    </x:row>
    <x:row r="34" ht="124" customHeight="1">
      <x:c r="A34" s="8" t="str">
        <x:v>Payroll / Batch payroll</x:v>
      </x:c>
      <x:c r="B34" s="8" t="str">
        <x:v>Batch; Periode; Unit; Pegawai; Bruto Rp; Potongan Rp; Neto Rp; Status; versi dokumen jika relevan</x:v>
      </x:c>
      <x:c r="C34" s="8" t="str">
        <x:v>Run HR/unit/periode/versi; kelengkapan; komponen; mapping; kewajiban</x:v>
      </x:c>
      <x:c r="D34" s="8" t="str">
        <x:v>Rincian pegawai sesuai hak akses, komponen, potongan, pajak, jurnal kewajiban dan pembayaran.</x:v>
      </x:c>
      <x:c r="E34" s="8" t="str">
        <x:v>S16; S17; S20</x:v>
      </x:c>
      <x:c r="F34" s="8" t="str">
        <x:v>F23, F02</x:v>
      </x:c>
      <x:c r="G34" s="8" t="str">
        <x:v>Sidebar detail; form sebagai mode terpisah</x:v>
      </x:c>
      <x:c r="H34" s="8" t="str">
        <x:v>Dokumen sumber tetap satu. Status approval, posting, pembayaran dan rekonsiliasi ditampilkan terpisah jika relevan. Data sensitif mengikuti hak.</x:v>
      </x:c>
    </x:row>
    <x:row r="35" ht="124" customHeight="1">
      <x:c r="A35" s="8" t="str">
        <x:v>Payroll / Kewajiban &amp; pembayaran</x:v>
      </x:c>
      <x:c r="B35" s="8" t="str">
        <x:v>Kewajiban; Batch; Unit; Penerima; Nilai Rp; Dibayar Rp; Sisa Rp; Status; versi dokumen jika relevan</x:v>
      </x:c>
      <x:c r="C35" s="8" t="str">
        <x:v>Batch; penerima; komponen; sisa; pembayaran/transfer gagal</x:v>
      </x:c>
      <x:c r="D35" s="8" t="str">
        <x:v>Rincian komponen, alokasi pembayaran, bukti bank. Kewajiban pajak tertaut ke Pajak tanpa pembayaran duplikat.</x:v>
      </x:c>
      <x:c r="E35" s="8" t="str">
        <x:v>S17; S03; S20</x:v>
      </x:c>
      <x:c r="F35" s="8" t="str">
        <x:v>F02</x:v>
      </x:c>
      <x:c r="G35" s="8" t="str">
        <x:v>Sidebar detail; form sebagai mode terpisah</x:v>
      </x:c>
      <x:c r="H35" s="8" t="str">
        <x:v>Dokumen sumber tetap satu. Status approval, posting, pembayaran dan rekonsiliasi ditampilkan terpisah jika relevan. Data sensitif mengikuti hak.</x:v>
      </x:c>
    </x:row>
    <x:row r="36" ht="124" customHeight="1">
      <x:c r="A36" s="8" t="str">
        <x:v>Payroll / Pinjaman pegawai</x:v>
      </x:c>
      <x:c r="B36" s="8" t="str">
        <x:v>Pinjaman; Pegawai; Unit; Pokok Rp; Dilunasi Rp; Sisa Rp; Cara pelunasan; Status; versi dokumen jika relevan</x:v>
      </x:c>
      <x:c r="C36" s="8" t="str">
        <x:v>Pegawai; pokok; jadwal; pencairan; pelunasan; sisa</x:v>
      </x:c>
      <x:c r="D36" s="8" t="str">
        <x:v>Persetujuan, pembayaran awal, jadwal, potongan batch PR-001 atau penerimaan kas, dan jurnal piutang.</x:v>
      </x:c>
      <x:c r="E36" s="8" t="str">
        <x:v>S17; S03; S20</x:v>
      </x:c>
      <x:c r="F36" s="8" t="str">
        <x:v>F24, F02, F03, F01</x:v>
      </x:c>
      <x:c r="G36" s="8" t="str">
        <x:v>Sidebar detail; form sebagai mode terpisah</x:v>
      </x:c>
      <x:c r="H36" s="8" t="str">
        <x:v>Dokumen sumber tetap satu. Status approval, posting, pembayaran dan rekonsiliasi ditampilkan terpisah jika relevan. Data sensitif mengikuti hak.</x:v>
      </x:c>
    </x:row>
    <x:row r="37" ht="124" customHeight="1">
      <x:c r="A37" s="8" t="str">
        <x:v>Payroll / Rekonsiliasi payroll</x:v>
      </x:c>
      <x:c r="B37" s="8" t="str">
        <x:v>Batch; Unit; Neto Rp; Kewajiban tercatat Rp; Dibayar Rp; Belum dibayar Rp; Status; versi dokumen jika relevan</x:v>
      </x:c>
      <x:c r="C37" s="8" t="str">
        <x:v>Batch; kewajiban; potongan; pembayaran; selisih</x:v>
      </x:c>
      <x:c r="D37" s="8" t="str">
        <x:v>Jumlah batch, kewajiban, transfer gagal, potongan pinjaman dan pajak terkait.</x:v>
      </x:c>
      <x:c r="E37" s="8" t="str">
        <x:v>S13; S16; S17</x:v>
      </x:c>
      <x:c r="F37" s="8" t="str">
        <x:v>F19</x:v>
      </x:c>
      <x:c r="G37" s="8" t="str">
        <x:v>Sidebar detail; form sebagai mode terpisah</x:v>
      </x:c>
      <x:c r="H37" s="8" t="str">
        <x:v>Dokumen sumber tetap satu. Status approval, posting, pembayaran dan rekonsiliasi ditampilkan terpisah jika relevan. Data sensitif mengikuti hak.</x:v>
      </x:c>
    </x:row>
    <x:row r="38" ht="124" customHeight="1">
      <x:c r="A38" s="8" t="str">
        <x:v>Pajak / Kewajiban</x:v>
      </x:c>
      <x:c r="B38" s="8" t="str">
        <x:v>Kewajiban; Jenis; Masa; Unit; Terutang Rp; Dibayar Rp; Sisa Rp; Status bayar; versi dokumen jika relevan</x:v>
      </x:c>
      <x:c r="C38" s="8" t="str">
        <x:v>Jenis/masa; sumber; terutang; pembayaran; status lapor terpisah</x:v>
      </x:c>
      <x:c r="D38" s="8" t="str">
        <x:v>Dokumen dasar, penyesuaian, pembayaran, referensi pelaporan. Tenggat mengikuti master kebijakan yang divalidasi tim pajak.</x:v>
      </x:c>
      <x:c r="E38" s="8" t="str">
        <x:v>S07; S03; S20</x:v>
      </x:c>
      <x:c r="F38" s="8" t="str">
        <x:v>F25, F02, F01</x:v>
      </x:c>
      <x:c r="G38" s="8" t="str">
        <x:v>Sidebar detail; form sebagai mode terpisah</x:v>
      </x:c>
      <x:c r="H38" s="8" t="str">
        <x:v>Dokumen sumber tetap satu. Status approval, posting, pembayaran dan rekonsiliasi ditampilkan terpisah jika relevan. Data sensitif mengikuti hak.</x:v>
      </x:c>
    </x:row>
    <x:row r="39" ht="124" customHeight="1">
      <x:c r="A39" s="8" t="str">
        <x:v>Pajak / Dokumen pajak</x:v>
      </x:c>
      <x:c r="B39" s="8" t="str">
        <x:v>Dokumen; Jenis; Nomor referensi; Tanggal; Pihak; Nilai pajak Rp; Sumber; Status; versi dokumen jika relevan</x:v>
      </x:c>
      <x:c r="C39" s="8" t="str">
        <x:v>Nomor/jenis/masa; pihak; sumber; nilai; bukti; pembetulan</x:v>
      </x:c>
      <x:c r="D39" s="8" t="str">
        <x:v>Identitas dokumen, dasar nilai, sumber asli, lampiran, validasi dan riwayat. Nilai hanya ilustrasi, tidak menghitung tarif legal.</x:v>
      </x:c>
      <x:c r="E39" s="8" t="str">
        <x:v>S07; S01</x:v>
      </x:c>
      <x:c r="F39" s="8" t="str">
        <x:v>F25, F01</x:v>
      </x:c>
      <x:c r="G39" s="8" t="str">
        <x:v>Sidebar detail; form sebagai mode terpisah</x:v>
      </x:c>
      <x:c r="H39" s="8" t="str">
        <x:v>Dokumen sumber tetap satu. Status approval, posting, pembayaran dan rekonsiliasi ditampilkan terpisah jika relevan. Data sensitif mengikuti hak.</x:v>
      </x:c>
    </x:row>
    <x:row r="40" ht="124" customHeight="1">
      <x:c r="A40" s="8" t="str">
        <x:v>Pajak / Pembayaran</x:v>
      </x:c>
      <x:c r="B40" s="8" t="str">
        <x:v>Pembayaran; Kewajiban; Jenis; Masa; Nilai Rp; Tanggal bayar; Bukti bayar; Status; versi dokumen jika relevan</x:v>
      </x:c>
      <x:c r="C40" s="8" t="str">
        <x:v>Kewajiban; payment; referensi billing; bukti; alokasi</x:v>
      </x:c>
      <x:c r="D40" s="8" t="str">
        <x:v>Payment yang sama di Kas &amp; Bank, kode billing/referensi bila relevan, bukti dan alokasi.</x:v>
      </x:c>
      <x:c r="E40" s="8" t="str">
        <x:v>S03; S07; S20</x:v>
      </x:c>
      <x:c r="F40" s="8" t="str">
        <x:v>F02, F25</x:v>
      </x:c>
      <x:c r="G40" s="8" t="str">
        <x:v>Sidebar detail; form sebagai mode terpisah</x:v>
      </x:c>
      <x:c r="H40" s="8" t="str">
        <x:v>Dokumen sumber tetap satu. Status approval, posting, pembayaran dan rekonsiliasi ditampilkan terpisah jika relevan. Data sensitif mengikuti hak.</x:v>
      </x:c>
    </x:row>
    <x:row r="41" ht="124" customHeight="1">
      <x:c r="A41" s="8" t="str">
        <x:v>Pajak / Pelaporan</x:v>
      </x:c>
      <x:c r="B41" s="8" t="str">
        <x:v>Pelaporan; Jenis; Masa; Unit; Tanggal lapor; Referensi tanda terima; Status lapor; versi dokumen jika relevan</x:v>
      </x:c>
      <x:c r="C41" s="8" t="str">
        <x:v>Jenis/masa/versi; dokumen; pembayaran terkait; tanda terima</x:v>
      </x:c>
      <x:c r="D41" s="8" t="str">
        <x:v>Dokumen pendukung, pembayaran terkait, tanda terima, versi pembetulan. Dilaporkan tidak berarti sudah dibayar.</x:v>
      </x:c>
      <x:c r="E41" s="8" t="str">
        <x:v>S07; S01; S02</x:v>
      </x:c>
      <x:c r="F41" s="8" t="str">
        <x:v>F26, F01</x:v>
      </x:c>
      <x:c r="G41" s="8" t="str">
        <x:v>Sidebar detail; form sebagai mode terpisah</x:v>
      </x:c>
      <x:c r="H41" s="8" t="str">
        <x:v>Dokumen sumber tetap satu. Status approval, posting, pembayaran dan rekonsiliasi ditampilkan terpisah jika relevan. Data sensitif mengikuti hak.</x:v>
      </x:c>
    </x:row>
    <x:row r="42" ht="124" customHeight="1">
      <x:c r="A42" s="8" t="str">
        <x:v>Pendanaan &amp; Modal / Pinjaman</x:v>
      </x:c>
      <x:c r="B42" s="8" t="str">
        <x:v>Pinjaman; Pemberi dana; Unit; Jenis; Pokok awal Rp; Pokok tersisa Rp; Jatuh tempo; Status; versi dokumen jika relevan</x:v>
      </x:c>
      <x:c r="C42" s="8" t="str">
        <x:v>Kontrak/pemberi dana; pokok; pencairan; jadwal; perubahan</x:v>
      </x:c>
      <x:c r="D42" s="8" t="str">
        <x:v>Kontrak, rekening, jaminan bila ada, pencairan, pokok, bunga/biaya dan riwayat perubahan.</x:v>
      </x:c>
      <x:c r="E42" s="8" t="str">
        <x:v>S18; S03; S20</x:v>
      </x:c>
      <x:c r="F42" s="8" t="str">
        <x:v>F27, F03, F01</x:v>
      </x:c>
      <x:c r="G42" s="8" t="str">
        <x:v>Sidebar detail; form sebagai mode terpisah</x:v>
      </x:c>
      <x:c r="H42" s="8" t="str">
        <x:v>Dokumen sumber tetap satu. Status approval, posting, pembayaran dan rekonsiliasi ditampilkan terpisah jika relevan. Data sensitif mengikuti hak.</x:v>
      </x:c>
    </x:row>
    <x:row r="43" ht="124" customHeight="1">
      <x:c r="A43" s="8" t="str">
        <x:v>Pendanaan &amp; Modal / Angsuran &amp; biaya</x:v>
      </x:c>
      <x:c r="B43" s="8" t="str">
        <x:v>Angsuran; Pinjaman; Jatuh tempo; Pokok Rp; Bunga Rp; Biaya Rp; Total Rp; Status; versi dokumen jika relevan</x:v>
      </x:c>
      <x:c r="C43" s="8" t="str">
        <x:v>Kontrak; pokok/bunga/biaya; jatuh tempo; payment; sisa</x:v>
      </x:c>
      <x:c r="D43" s="8" t="str">
        <x:v>Rincian pokok/bunga/biaya, dasar kontrak, pembayaran, akrual terkait dan jurnal. Angka contoh bukan rekomendasi syarat pinjaman.</x:v>
      </x:c>
      <x:c r="E43" s="8" t="str">
        <x:v>S18; S03; S20</x:v>
      </x:c>
      <x:c r="F43" s="8" t="str">
        <x:v>F27, F02</x:v>
      </x:c>
      <x:c r="G43" s="8" t="str">
        <x:v>Sidebar detail; form sebagai mode terpisah</x:v>
      </x:c>
      <x:c r="H43" s="8" t="str">
        <x:v>Dokumen sumber tetap satu. Status approval, posting, pembayaran dan rekonsiliasi ditampilkan terpisah jika relevan. Data sensitif mengikuti hak.</x:v>
      </x:c>
    </x:row>
    <x:row r="44" ht="124" customHeight="1">
      <x:c r="A44" s="8" t="str">
        <x:v>Pendanaan &amp; Modal / Modal &amp; distribusi</x:v>
      </x:c>
      <x:c r="B44" s="8" t="str">
        <x:v>Transaksi; Pemilik; Unit; Jenis; Tanggal; Nilai Rp; Referensi kas; Status; versi dokumen jika relevan</x:v>
      </x:c>
      <x:c r="C44" s="8" t="str">
        <x:v>Pemilik; dasar keputusan; jenis; nominal; kas; jurnal</x:v>
      </x:c>
      <x:c r="D44" s="8" t="str">
        <x:v>Dasar keputusan, pemilik, jenis perubahan modal, kas terkait dan jurnal. Distribusi harus punya dasar keputusan.</x:v>
      </x:c>
      <x:c r="E44" s="8" t="str">
        <x:v>S19; S03; S20</x:v>
      </x:c>
      <x:c r="F44" s="8" t="str">
        <x:v>F28, F02, F03, F01</x:v>
      </x:c>
      <x:c r="G44" s="8" t="str">
        <x:v>Sidebar detail; form sebagai mode terpisah</x:v>
      </x:c>
      <x:c r="H44" s="8" t="str">
        <x:v>Dokumen sumber tetap satu. Status approval, posting, pembayaran dan rekonsiliasi ditampilkan terpisah jika relevan. Data sensitif mengikuti hak.</x:v>
      </x:c>
    </x:row>
    <x:row r="45" ht="124" customHeight="1">
      <x:c r="A45" s="8" t="str">
        <x:v>Pendanaan &amp; Modal / Perubahan ekuitas</x:v>
      </x:c>
      <x:c r="B45" s="8" t="str">
        <x:v>Unit; Periode; Saldo awal Rp; Setoran Rp; Distribusi Rp; Hasil periode Rp; Saldo akhir Rp; versi dokumen jika relevan</x:v>
      </x:c>
      <x:c r="C45" s="8" t="str">
        <x:v>Unit/periode; saldo awal; transaksi pemilik; hasil periode; saldo akhir</x:v>
      </x:c>
      <x:c r="D45" s="8" t="str">
        <x:v>Setoran/distribusi berasal dari register modal, hasil periode berasal dari buku besar dan kebijakan penutupan. Tampilan baca, bukan input laba manual.</x:v>
      </x:c>
      <x:c r="E45" s="8" t="str">
        <x:v>S19; S20</x:v>
      </x:c>
      <x:c r="F45" s="8" t="str">
        <x:v>F35</x:v>
      </x:c>
      <x:c r="G45" s="8" t="str">
        <x:v>Sidebar detail; form sebagai mode terpisah</x:v>
      </x:c>
      <x:c r="H45" s="8" t="str">
        <x:v>Dokumen sumber tetap satu. Status approval, posting, pembayaran dan rekonsiliasi ditampilkan terpisah jika relevan. Data sensitif mengikuti hak.</x:v>
      </x:c>
    </x:row>
    <x:row r="46" ht="124" customHeight="1">
      <x:c r="A46" s="8" t="str">
        <x:v>Akuntansi &amp; Tutup Buku / Jurnal</x:v>
      </x:c>
      <x:c r="B46" s="8" t="str">
        <x:v>Jurnal; Tanggal; Unit; Sumber; Debit Rp; Kredit Rp; Status; versi dokumen jika relevan</x:v>
      </x:c>
      <x:c r="C46" s="8" t="str">
        <x:v>Header sumber; baris akun/dimensi; debit/kredit; bukti; riwayat</x:v>
      </x:c>
      <x:c r="D46" s="8" t="str">
        <x:v>Baris akun/unit/debit/kredit, alasan, lampiran, sumber, pembalikan dan riwayat. Akun nonaktif/induk/unit tidak sah ditolak.</x:v>
      </x:c>
      <x:c r="E46" s="8" t="str">
        <x:v>S20; S01; S02</x:v>
      </x:c>
      <x:c r="F46" s="8" t="str">
        <x:v>F29, F01</x:v>
      </x:c>
      <x:c r="G46" s="8" t="str">
        <x:v>Sidebar detail; form sebagai mode terpisah</x:v>
      </x:c>
      <x:c r="H46" s="8" t="str">
        <x:v>Dokumen sumber tetap satu. Status approval, posting, pembayaran dan rekonsiliasi ditampilkan terpisah jika relevan. Data sensitif mengikuti hak.</x:v>
      </x:c>
    </x:row>
    <x:row r="47" ht="124" customHeight="1">
      <x:c r="A47" s="8" t="str">
        <x:v>Akuntansi &amp; Tutup Buku / Pengakuan periodik</x:v>
      </x:c>
      <x:c r="B47" s="8" t="str">
        <x:v>Jadwal; Jenis; Unit; Periode; Nilai Rp; Sumber; Status; versi dokumen jika relevan</x:v>
      </x:c>
      <x:c r="C47" s="8" t="str">
        <x:v>Jenis/jadwal/sumber; periode; baris usulan; posting/pembalikan</x:v>
      </x:c>
      <x:c r="D47" s="8" t="str">
        <x:v>Dasar perhitungan, sumber, periode, akun, jurnal sebelumnya dan pencegahan posting ganda.</x:v>
      </x:c>
      <x:c r="E47" s="8" t="str">
        <x:v>S09; S20</x:v>
      </x:c>
      <x:c r="F47" s="8" t="str">
        <x:v>F22, F01</x:v>
      </x:c>
      <x:c r="G47" s="8" t="str">
        <x:v>Sidebar detail; form sebagai mode terpisah</x:v>
      </x:c>
      <x:c r="H47" s="8" t="str">
        <x:v>Dokumen sumber tetap satu. Status approval, posting, pembayaran dan rekonsiliasi ditampilkan terpisah jika relevan. Data sensitif mengikuti hak.</x:v>
      </x:c>
    </x:row>
    <x:row r="48" ht="124" customHeight="1">
      <x:c r="A48" s="8" t="str">
        <x:v>Akuntansi &amp; Tutup Buku / Rekonsiliasi akun</x:v>
      </x:c>
      <x:c r="B48" s="8" t="str">
        <x:v>Rekonsiliasi; Kelompok; Unit; Periode; GL Rp; Rincian Rp; Selisih Rp; Status; versi dokumen jika relevan</x:v>
      </x:c>
      <x:c r="C48" s="8" t="str">
        <x:v>Kelompok/unit/periode; GL; register; selisih; bukti; review</x:v>
      </x:c>
      <x:c r="D48" s="8" t="str">
        <x:v>Rincian register, GL, selisih, bukti dan reviewer. Koreksi dibuat pada sumber yang salah.</x:v>
      </x:c>
      <x:c r="E48" s="8" t="str">
        <x:v>S13; S20</x:v>
      </x:c>
      <x:c r="F48" s="8" t="str">
        <x:v>F19, F01</x:v>
      </x:c>
      <x:c r="G48" s="8" t="str">
        <x:v>Sidebar detail; form sebagai mode terpisah</x:v>
      </x:c>
      <x:c r="H48" s="8" t="str">
        <x:v>Dokumen sumber tetap satu. Status approval, posting, pembayaran dan rekonsiliasi ditampilkan terpisah jika relevan. Data sensitif mengikuti hak.</x:v>
      </x:c>
    </x:row>
    <x:row r="49" ht="124" customHeight="1">
      <x:c r="A49" s="8" t="str">
        <x:v>Akuntansi &amp; Tutup Buku / Tutup periode</x:v>
      </x:c>
      <x:c r="B49" s="8" t="str">
        <x:v>Periode; Unit; Langkah; Pemilik; Tenggat; Status; Bukti; versi dokumen jika relevan</x:v>
      </x:c>
      <x:c r="C49" s="8" t="str">
        <x:v>Unit/periode; checklist; rekonsiliasi; hasil periode; keputusan; riwayat</x:v>
      </x:c>
      <x:c r="D49" s="8" t="str">
        <x:v>Checklist, transaksi tertunda, rekonsiliasi, laba/rugi, perubahan ekuitas, siapa menutup/membuka dan alasan.</x:v>
      </x:c>
      <x:c r="E49" s="8" t="str">
        <x:v>S21; S13; S19</x:v>
      </x:c>
      <x:c r="F49" s="8" t="str">
        <x:v>F30, F01</x:v>
      </x:c>
      <x:c r="G49" s="8" t="str">
        <x:v>Sidebar detail; form sebagai mode terpisah</x:v>
      </x:c>
      <x:c r="H49" s="8" t="str">
        <x:v>Dokumen sumber tetap satu. Status approval, posting, pembayaran dan rekonsiliasi ditampilkan terpisah jika relevan. Data sensitif mengikuti hak.</x:v>
      </x:c>
    </x:row>
    <x:row r="50" ht="124" customHeight="1">
      <x:c r="A50" s="8" t="str">
        <x:v>Laporan / Laporan keuangan</x:v>
      </x:c>
      <x:c r="B50" s="8" t="str">
        <x:v>Laporan; Periode; Lingkup; Versi; Status periode; Penanggung jawab; Diperbarui; versi dokumen jika relevan</x:v>
      </x:c>
      <x:c r="C50" s="8" t="str">
        <x:v>Periode/unit/versi; hierarki pos; pembanding; selisih; sumber</x:v>
      </x:c>
      <x:c r="D50" s="8" t="str">
        <x:v>Laporan berbentuk hierarki pos dengan kolom periode ini, pembanding dan selisih. Pos → akun → jurnal → sumber. Arus kas memerlukan pemetaan tersendiri.</x:v>
      </x:c>
      <x:c r="E50" s="8" t="str">
        <x:v>S24</x:v>
      </x:c>
      <x:c r="F50" s="8" t="str">
        <x:v>F35</x:v>
      </x:c>
      <x:c r="G50" s="8" t="str">
        <x:v>Halaman laporan penuh; sidebar rincian pos</x:v>
      </x:c>
      <x:c r="H50" s="8" t="str">
        <x:v>Dokumen sumber tetap satu. Status approval, posting, pembayaran dan rekonsiliasi ditampilkan terpisah jika relevan. Data sensitif mengikuti hak.</x:v>
      </x:c>
    </x:row>
    <x:row r="51" ht="124" customHeight="1">
      <x:c r="A51" s="8" t="str">
        <x:v>Laporan / Buku besar &amp; neraca saldo</x:v>
      </x:c>
      <x:c r="B51" s="8" t="str">
        <x:v>Kode akun; Nama akun; Unit; Awal Rp; Debit Rp; Kredit Rp; Akhir Rp; versi dokumen jika relevan</x:v>
      </x:c>
      <x:c r="C51" s="8" t="str">
        <x:v>Akun/unit/periode; saldo awal; mutasi; saldo akhir; sumber</x:v>
      </x:c>
      <x:c r="D51" s="8" t="str">
        <x:v>Buku besar: tanggal, jurnal, sumber, uraian, debit, kredit, saldo berjalan. Neraca saldo: saldo awal, mutasi dan saldo akhir sesuai sifat akun.</x:v>
      </x:c>
      <x:c r="E51" s="8" t="str">
        <x:v>S20; S24</x:v>
      </x:c>
      <x:c r="F51" s="8" t="str">
        <x:v>F35</x:v>
      </x:c>
      <x:c r="G51" s="8" t="str">
        <x:v>Halaman laporan; sidebar jurnal sumber</x:v>
      </x:c>
      <x:c r="H51" s="8" t="str">
        <x:v>Dokumen sumber tetap satu. Status approval, posting, pembayaran dan rekonsiliasi ditampilkan terpisah jika relevan. Data sensitif mengikuti hak.</x:v>
      </x:c>
    </x:row>
    <x:row r="52" ht="124" customHeight="1">
      <x:c r="A52" s="8" t="str">
        <x:v>Laporan / Operasional finance</x:v>
      </x:c>
      <x:c r="B52" s="8" t="str">
        <x:v>Laporan; Periode posisi; Unit; Dimensi utama; Sumber register; Pemilik; Status data; versi dokumen jika relevan</x:v>
      </x:c>
      <x:c r="C52" s="8" t="str">
        <x:v>Definisi laporan; tanggal posisi; pihak; bucket umur; sumber</x:v>
      </x:c>
      <x:c r="D52" s="8" t="str">
        <x:v>Umur utang/piutang: pihak, dokumen, jatuh tempo, belum jatuh tempo dan bucket umur. Aset/payroll/pajak memakai register sumber masing-masing.</x:v>
      </x:c>
      <x:c r="E52" s="8" t="str">
        <x:v>S03; S24</x:v>
      </x:c>
      <x:c r="F52" s="8" t="str">
        <x:v>F35</x:v>
      </x:c>
      <x:c r="G52" s="8" t="str">
        <x:v>Halaman laporan; sidebar dokumen sumber</x:v>
      </x:c>
      <x:c r="H52" s="8" t="str">
        <x:v>Dokumen sumber tetap satu. Status approval, posting, pembayaran dan rekonsiliasi ditampilkan terpisah jika relevan. Data sensitif mengikuti hak.</x:v>
      </x:c>
    </x:row>
    <x:row r="53" ht="124" customHeight="1">
      <x:c r="A53" s="8" t="str">
        <x:v>Laporan / Konsolidasi</x:v>
      </x:c>
      <x:c r="B53" s="8" t="str">
        <x:v>Paket; Periode; Cakupan unit; Unit siap; Unit belum siap; Eliminasi; Status; versi dokumen jika relevan</x:v>
      </x:c>
      <x:c r="C53" s="8" t="str">
        <x:v>Unit terpilih; kesiapan; eliminasi; sebelum/sesudah; versi</x:v>
      </x:c>
      <x:c r="D53" s="8" t="str">
        <x:v>Daftar semua unit terpilih, status data, rincian eliminasi dan laporan sebelum/sesudah eliminasi. Jumlah unit bukan hardcode tiga.</x:v>
      </x:c>
      <x:c r="E53" s="8" t="str">
        <x:v>S25; S24</x:v>
      </x:c>
      <x:c r="F53" s="8" t="str">
        <x:v>F35, F19</x:v>
      </x:c>
      <x:c r="G53" s="8" t="str">
        <x:v>Halaman konsolidasi penuh; sidebar unit/eliminasi</x:v>
      </x:c>
      <x:c r="H53" s="8" t="str">
        <x:v>Dokumen sumber tetap satu. Status approval, posting, pembayaran dan rekonsiliasi ditampilkan terpisah jika relevan. Data sensitif mengikuti hak.</x:v>
      </x:c>
    </x:row>
    <x:row r="54" ht="124" customHeight="1">
      <x:c r="A54" s="8" t="str">
        <x:v>Pengaturan Finance / COA</x:v>
      </x:c>
      <x:c r="B54" s="8" t="str">
        <x:v>Kode akun; Nama akun; Level; Unit; Aktif; Izin posting; Kelompok laporan; versi dokumen jika relevan</x:v>
      </x:c>
      <x:c r="C54" s="8" t="str">
        <x:v>Kode/nama/hierarki; aktif; postable; unit; laporan; penggunaan</x:v>
      </x:c>
      <x:c r="D54" s="8" t="str">
        <x:v>Hierarki, status, unit, pemetaan laporan, penggunaan rule dan riwayat perubahan. Tidak mengubah kode sumber tanpa keputusan.</x:v>
      </x:c>
      <x:c r="E54" s="8" t="str">
        <x:v>S22</x:v>
      </x:c>
      <x:c r="F54" s="8" t="str">
        <x:v>F31, F01</x:v>
      </x:c>
      <x:c r="G54" s="8" t="str">
        <x:v>Sidebar detail; form sebagai mode terpisah</x:v>
      </x:c>
      <x:c r="H54" s="8" t="str">
        <x:v>Dokumen sumber tetap satu. Status approval, posting, pembayaran dan rekonsiliasi ditampilkan terpisah jika relevan. Data sensitif mengikuti hak.</x:v>
      </x:c>
    </x:row>
    <x:row r="55" ht="124" customHeight="1">
      <x:c r="A55" s="8" t="str">
        <x:v>Pengaturan Finance / Pemetaan transaksi</x:v>
      </x:c>
      <x:c r="B55" s="8" t="str">
        <x:v>Kejadian; Peran akun; Unit; Bank/jenis; Akun tujuan; Aktivasi; Bukti uji; versi dokumen jika relevan</x:v>
      </x:c>
      <x:c r="C55" s="8" t="str">
        <x:v>Kejadian/role; dimensi; akun; prioritas; simulasi; aktivasi</x:v>
      </x:c>
      <x:c r="D55" s="8" t="str">
        <x:v>Prioritas resolusi, dimensi wajib, alasan nonaktif, contoh jurnal dan hasil uji. Rule nonaktif tidak diaktifkan hanya karena akun tersedia.</x:v>
      </x:c>
      <x:c r="E55" s="8" t="str">
        <x:v>S22; S20</x:v>
      </x:c>
      <x:c r="F55" s="8" t="str">
        <x:v>F32, F01</x:v>
      </x:c>
      <x:c r="G55" s="8" t="str">
        <x:v>Sidebar detail; form sebagai mode terpisah</x:v>
      </x:c>
      <x:c r="H55" s="8" t="str">
        <x:v>Dokumen sumber tetap satu. Status approval, posting, pembayaran dan rekonsiliasi ditampilkan terpisah jika relevan. Data sensitif mengikuti hak.</x:v>
      </x:c>
    </x:row>
    <x:row r="56" ht="124" customHeight="1">
      <x:c r="A56" s="8" t="str">
        <x:v>Pengaturan Finance / Rekening &amp; pihak</x:v>
      </x:c>
      <x:c r="B56" s="8" t="str">
        <x:v>Master; Kode; Nama; Unit; Jenis; Aktif; Kelengkapan; versi dokumen jika relevan</x:v>
      </x:c>
      <x:c r="C56" s="8" t="str">
        <x:v>Identitas; jenis; unit; data pembayaran terbatas; status; penggunaan</x:v>
      </x:c>
      <x:c r="D56" s="8" t="str">
        <x:v>Identitas dan data pembayaran sesuai akses; pihak dipakai lintas menu dengan satu ID. Tidak menampilkan nomor sensitif penuh di daftar.</x:v>
      </x:c>
      <x:c r="E56" s="8" t="str">
        <x:v>S22</x:v>
      </x:c>
      <x:c r="F56" s="8" t="str">
        <x:v>F33, F01</x:v>
      </x:c>
      <x:c r="G56" s="8" t="str">
        <x:v>Sidebar detail; form sebagai mode terpisah</x:v>
      </x:c>
      <x:c r="H56" s="8" t="str">
        <x:v>Dokumen sumber tetap satu. Status approval, posting, pembayaran dan rekonsiliasi ditampilkan terpisah jika relevan. Data sensitif mengikuti hak.</x:v>
      </x:c>
    </x:row>
    <x:row r="57" ht="124" customHeight="1">
      <x:c r="A57" s="8" t="str">
        <x:v>Pengaturan Finance / Kebijakan &amp; jadwal</x:v>
      </x:c>
      <x:c r="B57" s="8" t="str">
        <x:v>Kebijakan; Lingkup; Berlaku mulai; Pemilik; Versi; Status; Referensi; versi dokumen jika relevan</x:v>
      </x:c>
      <x:c r="C57" s="8" t="str">
        <x:v>Jenis/lingkup; parameter; tanggal berlaku; dampak; keputusan</x:v>
      </x:c>
      <x:c r="D57" s="8" t="str">
        <x:v>Nilai/parameter, dasar keputusan, masa berlaku, dampak ke jadwal aktif dan riwayat. Kalender pajak divalidasi pemilik kebijakan.</x:v>
      </x:c>
      <x:c r="E57" s="8" t="str">
        <x:v>S22; S09</x:v>
      </x:c>
      <x:c r="F57" s="8" t="str">
        <x:v>F34, F01</x:v>
      </x:c>
      <x:c r="G57" s="8" t="str">
        <x:v>Sidebar detail; form sebagai mode terpisah</x:v>
      </x:c>
      <x:c r="H57" s="8" t="str">
        <x:v>Dokumen sumber tetap satu. Status approval, posting, pembayaran dan rekonsiliasi ditampilkan terpisah jika relevan. Data sensitif mengikuti hak.</x:v>
      </x:c>
    </x:row>
    <x:row r="58" ht="124" customHeight="1">
      <x:c r="A58" s="8" t="str">
        <x:v>Pengaturan Finance / Akses &amp; persetujuan</x:v>
      </x:c>
      <x:c r="B58" s="8" t="str">
        <x:v>Peran; Menu; Cakupan unit; Lihat; Buat; Review; Eksekusi; Status; versi dokumen jika relevan</x:v>
      </x:c>
      <x:c r="C58" s="8" t="str">
        <x:v>Peran/tindakan; unit; batas mandat; keputusan; masa berlaku</x:v>
      </x:c>
      <x:c r="D58" s="8" t="str">
        <x:v>Hak melihat nominal/pegawai, tindakan, batas mandat dan pemisahan pengaju/reviewer sesuai kebijakan perusahaan.</x:v>
      </x:c>
      <x:c r="E58" s="8" t="str">
        <x:v>S22</x:v>
      </x:c>
      <x:c r="F58" s="8" t="str">
        <x:v>F34, F01</x:v>
      </x:c>
      <x:c r="G58" s="8" t="str">
        <x:v>Sidebar detail; form sebagai mode terpisah</x:v>
      </x:c>
      <x:c r="H58" s="8" t="str">
        <x:v>Dokumen sumber tetap satu. Status approval, posting, pembayaran dan rekonsiliasi ditampilkan terpisah jika relevan. Data sensitif mengikuti hak.</x:v>
      </x:c>
    </x:row>
    <x:row r="59" ht="124" customHeight="1">
      <x:c r="A59" s="8" t="str">
        <x:v>Pengaturan Finance / Riwayat perubahan</x:v>
      </x:c>
      <x:c r="B59" s="8" t="str">
        <x:v>Perubahan; Waktu; Pelaku; Objek; Sebelum; Sesudah; Alasan; Referensi; versi dokumen jika relevan</x:v>
      </x:c>
      <x:c r="C59" s="8" t="str">
        <x:v>Objek; pelaku/waktu; sebelum/sesudah; dasar; keputusan; dampak</x:v>
      </x:c>
      <x:c r="D59" s="8" t="str">
        <x:v>Versi sebelum/sesudah, pemohon, reviewer, waktu, alasan dan transaksi terdampak. Contoh perubahan ini belum diterapkan.</x:v>
      </x:c>
      <x:c r="E59" s="8" t="str">
        <x:v>S02; S22</x:v>
      </x:c>
      <x:c r="F59" s="8" t="str">
        <x:v>—</x:v>
      </x:c>
      <x:c r="G59" s="8" t="str">
        <x:v>Sidebar detail; form sebagai mode terpisah</x:v>
      </x:c>
      <x:c r="H59" s="8" t="str">
        <x:v>Dokumen sumber tetap satu. Status approval, posting, pembayaran dan rekonsiliasi ditampilkan terpisah jika relevan. Data sensitif mengikuti hak.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33ec6662debf4ac1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2" t="str">
        <x:v>Tombol, kondisi aktif dan akibatnya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3" t="str">
        <x:v>Satu baris per tombol. Tidak semua tombol muncul bersamaan. Konfirmasi transaksi menampilkan sumber, unit, nominal, rekening dan dampak sebelum eksekusi.</x:v>
      </x:c>
      <x:c r="B2" s="23"/>
      <x:c r="C2" s="23"/>
      <x:c r="D2" s="23"/>
      <x:c r="E2" s="23"/>
      <x:c r="F2" s="23"/>
      <x:c r="G2" s="23"/>
      <x:c r="H2" s="23"/>
    </x:row>
    <x:row r="3" ht="22" customHeight="1">
      <x:c r="A3" s="23"/>
      <x:c r="B3" s="23"/>
      <x:c r="C3" s="23"/>
      <x:c r="D3" s="23"/>
      <x:c r="E3" s="23"/>
      <x:c r="F3" s="23"/>
      <x:c r="G3" s="23"/>
      <x:c r="H3" s="23"/>
    </x:row>
    <x:row r="5" ht="38" customHeight="1">
      <x:c r="A5" s="25" t="str">
        <x:v>Menu / tab</x:v>
      </x:c>
      <x:c r="B5" s="25" t="str">
        <x:v>Tombol / posisi</x:v>
      </x:c>
      <x:c r="C5" s="25" t="str">
        <x:v>Siapa</x:v>
      </x:c>
      <x:c r="D5" s="25" t="str">
        <x:v>Aktif saat</x:v>
      </x:c>
      <x:c r="E5" s="25" t="str">
        <x:v>Syarat / konfirmasi</x:v>
      </x:c>
      <x:c r="F5" s="25" t="str">
        <x:v>Membuka form / sumber</x:v>
      </x:c>
      <x:c r="G5" s="25" t="str">
        <x:v>Hasil</x:v>
      </x:c>
      <x:c r="H5" s="25" t="str">
        <x:v>Jika belum memenuhi</x:v>
      </x:c>
    </x:row>
    <x:row r="6" ht="110" customHeight="1">
      <x:c r="A6" s="8" t="str">
        <x:v>Ringkasan / Hari ini</x:v>
      </x:c>
      <x:c r="B6" s="8" t="str">
        <x:v>Buka pekerjaan
Posisi: Isi panel</x:v>
      </x:c>
      <x:c r="C6" s="8" t="str">
        <x:v>Pembaca berizin</x:v>
      </x:c>
      <x:c r="D6" s="8" t="str">
        <x:v>Sumber tersedia</x:v>
      </x:c>
      <x:c r="E6" s="8" t="str">
        <x:v>Hak objek tujuan dan unit diperiksa</x:v>
      </x:c>
      <x:c r="F6" s="8" t="str">
        <x:v>Menu pemilik sumber</x:v>
      </x:c>
      <x:c r="G6" s="8" t="str">
        <x:v>Membuka dokumen yang sama; tidak mengubah data</x:v>
      </x:c>
      <x:c r="H6" s="8" t="str">
        <x:v>Tanpa izin: sembunyikan. Tahap belum tepat: nonaktif dengan alasan. Periksa ulang izin, versi dan kondisi pada server.</x:v>
      </x:c>
    </x:row>
    <x:row r="7" ht="110" customHeight="1">
      <x:c r="A7" s="8" t="str">
        <x:v>Ringkasan / Persetujuan saya</x:v>
      </x:c>
      <x:c r="B7" s="8" t="str">
        <x:v>Buka sumber
Posisi: Isi panel</x:v>
      </x:c>
      <x:c r="C7" s="8" t="str">
        <x:v>Pembaca berizin</x:v>
      </x:c>
      <x:c r="D7" s="8" t="str">
        <x:v>Sumber tersedia</x:v>
      </x:c>
      <x:c r="E7" s="8" t="str">
        <x:v>Hak objek tujuan dan unit diperiksa</x:v>
      </x:c>
      <x:c r="F7" s="8" t="str">
        <x:v>Dokumen sumber</x:v>
      </x:c>
      <x:c r="G7" s="8" t="str">
        <x:v>Membuka dokumen yang sama; tidak mengubah data</x:v>
      </x:c>
      <x:c r="H7" s="8" t="str">
        <x:v>Tanpa izin: sembunyikan. Tahap belum tepat: nonaktif dengan alasan. Periksa ulang izin, versi dan kondisi pada server.</x:v>
      </x:c>
    </x:row>
    <x:row r="8" ht="110" customHeight="1">
      <x:c r="A8" s="8" t="str">
        <x:v>Ringkasan / Persetujuan saya</x:v>
      </x:c>
      <x:c r="B8" s="8" t="str">
        <x:v>Setujui
Posisi: Footer tindakan</x:v>
      </x:c>
      <x:c r="C8" s="8" t="str">
        <x:v>Reviewer sesuai mandat</x:v>
      </x:c>
      <x:c r="D8" s="8" t="str">
        <x:v>Menunggu review</x:v>
      </x:c>
      <x:c r="E8" s="8" t="str">
        <x:v>Versi terbaru; mandat/nominal/unit sah; pemisahan orang sesuai kebijakan</x:v>
      </x:c>
      <x:c r="F8" s="8" t="str">
        <x:v>F01</x:v>
      </x:c>
      <x:c r="G8" s="8" t="str">
        <x:v>Keputusan disimpan; tidak berarti sudah dibayar</x:v>
      </x:c>
      <x:c r="H8" s="8" t="str">
        <x:v>Tanpa izin: sembunyikan. Tahap belum tepat: nonaktif dengan alasan. Periksa ulang izin, versi dan kondisi pada server.</x:v>
      </x:c>
    </x:row>
    <x:row r="9" ht="110" customHeight="1">
      <x:c r="A9" s="8" t="str">
        <x:v>Ringkasan / Persetujuan saya</x:v>
      </x:c>
      <x:c r="B9" s="8" t="str">
        <x:v>Kembalikan
Posisi: Menu tindakan</x:v>
      </x:c>
      <x:c r="C9" s="8" t="str">
        <x:v>Reviewer sesuai mandat</x:v>
      </x:c>
      <x:c r="D9" s="8" t="str">
        <x:v>Menunggu review</x:v>
      </x:c>
      <x:c r="E9" s="8" t="str">
        <x:v>Alasan dan bagian yang harus diperbaiki wajib</x:v>
      </x:c>
      <x:c r="F9" s="8" t="str">
        <x:v>F01</x:v>
      </x:c>
      <x:c r="G9" s="8" t="str">
        <x:v>Pemohon dapat merevisi versi pengajuan</x:v>
      </x:c>
      <x:c r="H9" s="8" t="str">
        <x:v>Tanpa izin: sembunyikan. Tahap belum tepat: nonaktif dengan alasan. Periksa ulang izin, versi dan kondisi pada server.</x:v>
      </x:c>
    </x:row>
    <x:row r="10" ht="110" customHeight="1">
      <x:c r="A10" s="8" t="str">
        <x:v>Ringkasan / Persetujuan saya</x:v>
      </x:c>
      <x:c r="B10" s="8" t="str">
        <x:v>Tolak
Posisi: Footer tindakan</x:v>
      </x:c>
      <x:c r="C10" s="8" t="str">
        <x:v>Reviewer</x:v>
      </x:c>
      <x:c r="D10" s="8" t="str">
        <x:v>Menunggu review</x:v>
      </x:c>
      <x:c r="E10" s="8" t="str">
        <x:v>Alasan wajib; mandat sesuai</x:v>
      </x:c>
      <x:c r="F10" s="8" t="str">
        <x:v>F01</x:v>
      </x:c>
      <x:c r="G10" s="8" t="str">
        <x:v>Pengajuan ditolak tanpa eksekusi</x:v>
      </x:c>
      <x:c r="H10" s="8" t="str">
        <x:v>Tanpa izin: sembunyikan. Tahap belum tepat: nonaktif dengan alasan. Periksa ulang izin, versi dan kondisi pada server.</x:v>
      </x:c>
    </x:row>
    <x:row r="11" ht="110" customHeight="1">
      <x:c r="A11" s="8" t="str">
        <x:v>Ringkasan / Pengecualian</x:v>
      </x:c>
      <x:c r="B11" s="8" t="str">
        <x:v>Buka sumber masalah
Posisi: Isi panel</x:v>
      </x:c>
      <x:c r="C11" s="8" t="str">
        <x:v>Pembaca berizin</x:v>
      </x:c>
      <x:c r="D11" s="8" t="str">
        <x:v>Sumber tersedia</x:v>
      </x:c>
      <x:c r="E11" s="8" t="str">
        <x:v>Hak objek tujuan dan unit diperiksa</x:v>
      </x:c>
      <x:c r="F11" s="8" t="str">
        <x:v>Domain sumber</x:v>
      </x:c>
      <x:c r="G11" s="8" t="str">
        <x:v>Membuka dokumen yang sama; tidak mengubah data</x:v>
      </x:c>
      <x:c r="H11" s="8" t="str">
        <x:v>Tanpa izin: sembunyikan. Tahap belum tepat: nonaktif dengan alasan. Periksa ulang izin, versi dan kondisi pada server.</x:v>
      </x:c>
    </x:row>
    <x:row r="12" ht="110" customHeight="1">
      <x:c r="A12" s="8" t="str">
        <x:v>Ringkasan / Pengecualian</x:v>
      </x:c>
      <x:c r="B12" s="8" t="str">
        <x:v>Tugaskan
Posisi: Footer tindakan</x:v>
      </x:c>
      <x:c r="C12" s="8" t="str">
        <x:v>Koordinator</x:v>
      </x:c>
      <x:c r="D12" s="8" t="str">
        <x:v>Terbuka</x:v>
      </x:c>
      <x:c r="E12" s="8" t="str">
        <x:v>Owner tujuan berwenang</x:v>
      </x:c>
      <x:c r="F12" s="8" t="str">
        <x:v>F19</x:v>
      </x:c>
      <x:c r="G12" s="8" t="str">
        <x:v>Owner dan tenggat tercatat</x:v>
      </x:c>
      <x:c r="H12" s="8" t="str">
        <x:v>Tanpa izin: sembunyikan. Tahap belum tepat: nonaktif dengan alasan. Periksa ulang izin, versi dan kondisi pada server.</x:v>
      </x:c>
    </x:row>
    <x:row r="13" ht="110" customHeight="1">
      <x:c r="A13" s="8" t="str">
        <x:v>Ringkasan / Pengecualian</x:v>
      </x:c>
      <x:c r="B13" s="8" t="str">
        <x:v>Selesaikan kasus
Posisi: Footer tindakan</x:v>
      </x:c>
      <x:c r="C13" s="8" t="str">
        <x:v>Reviewer/owner</x:v>
      </x:c>
      <x:c r="D13" s="8" t="str">
        <x:v>Ditangani</x:v>
      </x:c>
      <x:c r="E13" s="8" t="str">
        <x:v>Bukti sumber teratasi; bukan hanya centang</x:v>
      </x:c>
      <x:c r="F13" s="8" t="str">
        <x:v>F19</x:v>
      </x:c>
      <x:c r="G13" s="8" t="str">
        <x:v>Kasus ditutup dengan jejak</x:v>
      </x:c>
      <x:c r="H13" s="8" t="str">
        <x:v>Tanpa izin: sembunyikan. Tahap belum tepat: nonaktif dengan alasan. Periksa ulang izin, versi dan kondisi pada server.</x:v>
      </x:c>
    </x:row>
    <x:row r="14" ht="110" customHeight="1">
      <x:c r="A14" s="8" t="str">
        <x:v>Kas &amp; Bank / Rekening &amp; kas</x:v>
      </x:c>
      <x:c r="B14" s="8" t="str">
        <x:v>Lihat mutasi
Posisi: Isi panel</x:v>
      </x:c>
      <x:c r="C14" s="8" t="str">
        <x:v>Pembaca berizin</x:v>
      </x:c>
      <x:c r="D14" s="8" t="str">
        <x:v>Sumber tersedia</x:v>
      </x:c>
      <x:c r="E14" s="8" t="str">
        <x:v>Hak objek tujuan dan unit diperiksa</x:v>
      </x:c>
      <x:c r="F14" s="8" t="str">
        <x:v>Mutasi rekening</x:v>
      </x:c>
      <x:c r="G14" s="8" t="str">
        <x:v>Membuka dokumen yang sama; tidak mengubah data</x:v>
      </x:c>
      <x:c r="H14" s="8" t="str">
        <x:v>Tanpa izin: sembunyikan. Tahap belum tepat: nonaktif dengan alasan. Periksa ulang izin, versi dan kondisi pada server.</x:v>
      </x:c>
    </x:row>
    <x:row r="15" ht="110" customHeight="1">
      <x:c r="A15" s="8" t="str">
        <x:v>Kas &amp; Bank / Rekening &amp; kas</x:v>
      </x:c>
      <x:c r="B15" s="8" t="str">
        <x:v>Transfer / isi kas
Posisi: Footer tindakan</x:v>
      </x:c>
      <x:c r="C15" s="8" t="str">
        <x:v>Treasury</x:v>
      </x:c>
      <x:c r="D15" s="8" t="str">
        <x:v>Rekening aktif</x:v>
      </x:c>
      <x:c r="E15" s="8" t="str">
        <x:v>Rekening siap dan unit sama; beda unit ke Antarunit</x:v>
      </x:c>
      <x:c r="F15" s="8" t="str">
        <x:v>F04</x:v>
      </x:c>
      <x:c r="G15" s="8" t="str">
        <x:v>Draf transfer</x:v>
      </x:c>
      <x:c r="H15" s="8" t="str">
        <x:v>Tanpa izin: sembunyikan. Tahap belum tepat: nonaktif dengan alasan. Periksa ulang izin, versi dan kondisi pada server.</x:v>
      </x:c>
    </x:row>
    <x:row r="16" ht="110" customHeight="1">
      <x:c r="A16" s="8" t="str">
        <x:v>Kas &amp; Bank / Rekening &amp; kas</x:v>
      </x:c>
      <x:c r="B16" s="8" t="str">
        <x:v>Ajukan perubahan master
Posisi: Header sekunder</x:v>
      </x:c>
      <x:c r="C16" s="8" t="str">
        <x:v>Pembaca berizin</x:v>
      </x:c>
      <x:c r="D16" s="8" t="str">
        <x:v>Sumber tersedia</x:v>
      </x:c>
      <x:c r="E16" s="8" t="str">
        <x:v>Hak objek tujuan dan unit diperiksa</x:v>
      </x:c>
      <x:c r="F16" s="8" t="str">
        <x:v>F33</x:v>
      </x:c>
      <x:c r="G16" s="8" t="str">
        <x:v>Membuka dokumen yang sama; tidak mengubah data</x:v>
      </x:c>
      <x:c r="H16" s="8" t="str">
        <x:v>Tanpa izin: sembunyikan. Tahap belum tepat: nonaktif dengan alasan. Periksa ulang izin, versi dan kondisi pada server.</x:v>
      </x:c>
    </x:row>
    <x:row r="17" ht="110" customHeight="1">
      <x:c r="A17" s="8" t="str">
        <x:v>Kas &amp; Bank / Pembayaran &amp; penerimaan</x:v>
      </x:c>
      <x:c r="B17" s="8" t="str">
        <x:v>Ubah draf
Posisi: Header sekunder</x:v>
      </x:c>
      <x:c r="C17" s="8" t="str">
        <x:v>Pemilik dokumen</x:v>
      </x:c>
      <x:c r="D17" s="8" t="str">
        <x:v>Draf / dikembalikan</x:v>
      </x:c>
      <x:c r="E17" s="8" t="str">
        <x:v>Versi terbaru dan dalam cakupan</x:v>
      </x:c>
      <x:c r="F17" s="8" t="str">
        <x:v>F02 / F03</x:v>
      </x:c>
      <x:c r="G17" s="8" t="str">
        <x:v>Masuk form; sumber final belum berubah</x:v>
      </x:c>
      <x:c r="H17" s="8" t="str">
        <x:v>Tanpa izin: sembunyikan. Tahap belum tepat: nonaktif dengan alasan. Periksa ulang izin, versi dan kondisi pada server.</x:v>
      </x:c>
    </x:row>
    <x:row r="18" ht="110" customHeight="1">
      <x:c r="A18" s="8" t="str">
        <x:v>Kas &amp; Bank / Pembayaran &amp; penerimaan</x:v>
      </x:c>
      <x:c r="B18" s="8" t="str">
        <x:v>Ajukan
Posisi: Footer tindakan</x:v>
      </x:c>
      <x:c r="C18" s="8" t="str">
        <x:v>Pengaju berizin</x:v>
      </x:c>
      <x:c r="D18" s="8" t="str">
        <x:v>Draf / dikembalikan</x:v>
      </x:c>
      <x:c r="E18" s="8" t="str">
        <x:v>Field/bukti lengkap; rincian valid; belum duplikat</x:v>
      </x:c>
      <x:c r="F18" s="8" t="str">
        <x:v>F02 / F03</x:v>
      </x:c>
      <x:c r="G18" s="8" t="str">
        <x:v>Dokumen terkunci untuk review</x:v>
      </x:c>
      <x:c r="H18" s="8" t="str">
        <x:v>Tanpa izin: sembunyikan. Tahap belum tepat: nonaktif dengan alasan. Periksa ulang izin, versi dan kondisi pada server.</x:v>
      </x:c>
    </x:row>
    <x:row r="19" ht="110" customHeight="1">
      <x:c r="A19" s="8" t="str">
        <x:v>Kas &amp; Bank / Pembayaran &amp; penerimaan</x:v>
      </x:c>
      <x:c r="B19" s="8" t="str">
        <x:v>Setujui
Posisi: Footer tindakan</x:v>
      </x:c>
      <x:c r="C19" s="8" t="str">
        <x:v>Reviewer sesuai mandat</x:v>
      </x:c>
      <x:c r="D19" s="8" t="str">
        <x:v>Menunggu review</x:v>
      </x:c>
      <x:c r="E19" s="8" t="str">
        <x:v>Versi terbaru; mandat/nominal/unit sah; pemisahan orang sesuai kebijakan</x:v>
      </x:c>
      <x:c r="F19" s="8" t="str">
        <x:v>F01</x:v>
      </x:c>
      <x:c r="G19" s="8" t="str">
        <x:v>Keputusan disimpan; tidak berarti sudah dibayar</x:v>
      </x:c>
      <x:c r="H19" s="8" t="str">
        <x:v>Tanpa izin: sembunyikan. Tahap belum tepat: nonaktif dengan alasan. Periksa ulang izin, versi dan kondisi pada server.</x:v>
      </x:c>
    </x:row>
    <x:row r="20" ht="110" customHeight="1">
      <x:c r="A20" s="8" t="str">
        <x:v>Kas &amp; Bank / Pembayaran &amp; penerimaan</x:v>
      </x:c>
      <x:c r="B20" s="8" t="str">
        <x:v>Eksekusi pembayaran
Posisi: Footer tindakan</x:v>
      </x:c>
      <x:c r="C20" s="8" t="str">
        <x:v>Treasury</x:v>
      </x:c>
      <x:c r="D20" s="8" t="str">
        <x:v>Disetujui</x:v>
      </x:c>
      <x:c r="E20" s="8" t="str">
        <x:v>Jumlah/alokasi/rekening benar; belum diproses; ringkasan konsekuensi</x:v>
      </x:c>
      <x:c r="F20" s="8" t="str">
        <x:v>F02</x:v>
      </x:c>
      <x:c r="G20" s="8" t="str">
        <x:v>Status proses/hasil aktual dan jurnal terkait</x:v>
      </x:c>
      <x:c r="H20" s="8" t="str">
        <x:v>Tanpa izin: sembunyikan. Tahap belum tepat: nonaktif dengan alasan. Periksa ulang izin, versi dan kondisi pada server.</x:v>
      </x:c>
    </x:row>
    <x:row r="21" ht="110" customHeight="1">
      <x:c r="A21" s="8" t="str">
        <x:v>Kas &amp; Bank / Pembayaran &amp; penerimaan</x:v>
      </x:c>
      <x:c r="B21" s="8" t="str">
        <x:v>Alokasikan penerimaan
Posisi: Footer tindakan</x:v>
      </x:c>
      <x:c r="C21" s="8" t="str">
        <x:v>Treasury/AR</x:v>
      </x:c>
      <x:c r="D21" s="8" t="str">
        <x:v>Penerimaan masih bersisa</x:v>
      </x:c>
      <x:c r="E21" s="8" t="str">
        <x:v>Sisa penerimaan dan sumber cukup</x:v>
      </x:c>
      <x:c r="F21" s="8" t="str">
        <x:v>F03</x:v>
      </x:c>
      <x:c r="G21" s="8" t="str">
        <x:v>Alokasi tersimpan pada receipt yang sama</x:v>
      </x:c>
      <x:c r="H21" s="8" t="str">
        <x:v>Tanpa izin: sembunyikan. Tahap belum tepat: nonaktif dengan alasan. Periksa ulang izin, versi dan kondisi pada server.</x:v>
      </x:c>
    </x:row>
    <x:row r="22" ht="110" customHeight="1">
      <x:c r="A22" s="8" t="str">
        <x:v>Kas &amp; Bank / Pembayaran &amp; penerimaan</x:v>
      </x:c>
      <x:c r="B22" s="8" t="str">
        <x:v>Ajukan koreksi / pembalikan
Posisi: Menu tindakan</x:v>
      </x:c>
      <x:c r="C22" s="8" t="str">
        <x:v>Pemilik / Akuntansi</x:v>
      </x:c>
      <x:c r="D22" s="8" t="str">
        <x:v>Sudah tercatat</x:v>
      </x:c>
      <x:c r="E22" s="8" t="str">
        <x:v>Periksa pembayaran, periode dan dokumen turunan; alasan wajib</x:v>
      </x:c>
      <x:c r="F22" s="8" t="str">
        <x:v>F01</x:v>
      </x:c>
      <x:c r="G22" s="8" t="str">
        <x:v>Dokumen koreksi tertaut; jurnal lama tidak dihapus</x:v>
      </x:c>
      <x:c r="H22" s="8" t="str">
        <x:v>Tanpa izin: sembunyikan. Tahap belum tepat: nonaktif dengan alasan. Periksa ulang izin, versi dan kondisi pada server.</x:v>
      </x:c>
    </x:row>
    <x:row r="23" ht="110" customHeight="1">
      <x:c r="A23" s="8" t="str">
        <x:v>Kas &amp; Bank / Transfer &amp; kas kecil</x:v>
      </x:c>
      <x:c r="B23" s="8" t="str">
        <x:v>Ubah draf
Posisi: Header sekunder</x:v>
      </x:c>
      <x:c r="C23" s="8" t="str">
        <x:v>Pemilik dokumen</x:v>
      </x:c>
      <x:c r="D23" s="8" t="str">
        <x:v>Draf / dikembalikan</x:v>
      </x:c>
      <x:c r="E23" s="8" t="str">
        <x:v>Versi terbaru dan dalam cakupan</x:v>
      </x:c>
      <x:c r="F23" s="8" t="str">
        <x:v>F04</x:v>
      </x:c>
      <x:c r="G23" s="8" t="str">
        <x:v>Masuk form; sumber final belum berubah</x:v>
      </x:c>
      <x:c r="H23" s="8" t="str">
        <x:v>Tanpa izin: sembunyikan. Tahap belum tepat: nonaktif dengan alasan. Periksa ulang izin, versi dan kondisi pada server.</x:v>
      </x:c>
    </x:row>
    <x:row r="24" ht="110" customHeight="1">
      <x:c r="A24" s="8" t="str">
        <x:v>Kas &amp; Bank / Transfer &amp; kas kecil</x:v>
      </x:c>
      <x:c r="B24" s="8" t="str">
        <x:v>Ajukan
Posisi: Footer tindakan</x:v>
      </x:c>
      <x:c r="C24" s="8" t="str">
        <x:v>Pengaju berizin</x:v>
      </x:c>
      <x:c r="D24" s="8" t="str">
        <x:v>Draf / dikembalikan</x:v>
      </x:c>
      <x:c r="E24" s="8" t="str">
        <x:v>Field/bukti lengkap; rincian valid; belum duplikat</x:v>
      </x:c>
      <x:c r="F24" s="8" t="str">
        <x:v>F04</x:v>
      </x:c>
      <x:c r="G24" s="8" t="str">
        <x:v>Dokumen terkunci untuk review</x:v>
      </x:c>
      <x:c r="H24" s="8" t="str">
        <x:v>Tanpa izin: sembunyikan. Tahap belum tepat: nonaktif dengan alasan. Periksa ulang izin, versi dan kondisi pada server.</x:v>
      </x:c>
    </x:row>
    <x:row r="25" ht="110" customHeight="1">
      <x:c r="A25" s="8" t="str">
        <x:v>Kas &amp; Bank / Transfer &amp; kas kecil</x:v>
      </x:c>
      <x:c r="B25" s="8" t="str">
        <x:v>Setujui
Posisi: Footer tindakan</x:v>
      </x:c>
      <x:c r="C25" s="8" t="str">
        <x:v>Reviewer sesuai mandat</x:v>
      </x:c>
      <x:c r="D25" s="8" t="str">
        <x:v>Menunggu review</x:v>
      </x:c>
      <x:c r="E25" s="8" t="str">
        <x:v>Versi terbaru; mandat/nominal/unit sah; pemisahan orang sesuai kebijakan</x:v>
      </x:c>
      <x:c r="F25" s="8" t="str">
        <x:v>F01</x:v>
      </x:c>
      <x:c r="G25" s="8" t="str">
        <x:v>Keputusan disimpan; tidak berarti sudah dibayar</x:v>
      </x:c>
      <x:c r="H25" s="8" t="str">
        <x:v>Tanpa izin: sembunyikan. Tahap belum tepat: nonaktif dengan alasan. Periksa ulang izin, versi dan kondisi pada server.</x:v>
      </x:c>
    </x:row>
    <x:row r="26" ht="110" customHeight="1">
      <x:c r="A26" s="8" t="str">
        <x:v>Kas &amp; Bank / Transfer &amp; kas kecil</x:v>
      </x:c>
      <x:c r="B26" s="8" t="str">
        <x:v>Kembalikan
Posisi: Menu tindakan</x:v>
      </x:c>
      <x:c r="C26" s="8" t="str">
        <x:v>Reviewer sesuai mandat</x:v>
      </x:c>
      <x:c r="D26" s="8" t="str">
        <x:v>Menunggu review</x:v>
      </x:c>
      <x:c r="E26" s="8" t="str">
        <x:v>Alasan dan bagian yang harus diperbaiki wajib</x:v>
      </x:c>
      <x:c r="F26" s="8" t="str">
        <x:v>F01</x:v>
      </x:c>
      <x:c r="G26" s="8" t="str">
        <x:v>Pemohon dapat merevisi versi pengajuan</x:v>
      </x:c>
      <x:c r="H26" s="8" t="str">
        <x:v>Tanpa izin: sembunyikan. Tahap belum tepat: nonaktif dengan alasan. Periksa ulang izin, versi dan kondisi pada server.</x:v>
      </x:c>
    </x:row>
    <x:row r="27" ht="110" customHeight="1">
      <x:c r="A27" s="8" t="str">
        <x:v>Kas &amp; Bank / Transfer &amp; kas kecil</x:v>
      </x:c>
      <x:c r="B27" s="8" t="str">
        <x:v>Ajukan koreksi / pembalikan
Posisi: Menu tindakan</x:v>
      </x:c>
      <x:c r="C27" s="8" t="str">
        <x:v>Pemilik / Akuntansi</x:v>
      </x:c>
      <x:c r="D27" s="8" t="str">
        <x:v>Sudah tercatat</x:v>
      </x:c>
      <x:c r="E27" s="8" t="str">
        <x:v>Periksa pembayaran, periode dan dokumen turunan; alasan wajib</x:v>
      </x:c>
      <x:c r="F27" s="8" t="str">
        <x:v>F01</x:v>
      </x:c>
      <x:c r="G27" s="8" t="str">
        <x:v>Dokumen koreksi tertaut; jurnal lama tidak dihapus</x:v>
      </x:c>
      <x:c r="H27" s="8" t="str">
        <x:v>Tanpa izin: sembunyikan. Tahap belum tepat: nonaktif dengan alasan. Periksa ulang izin, versi dan kondisi pada server.</x:v>
      </x:c>
    </x:row>
    <x:row r="28" ht="110" customHeight="1">
      <x:c r="A28" s="8" t="str">
        <x:v>Kas &amp; Bank / Transfer &amp; kas kecil</x:v>
      </x:c>
      <x:c r="B28" s="8" t="str">
        <x:v>Konfirmasi transfer
Posisi: Footer tindakan</x:v>
      </x:c>
      <x:c r="C28" s="8" t="str">
        <x:v>Treasury / penerima kas</x:v>
      </x:c>
      <x:c r="D28" s="8" t="str">
        <x:v>Disetujui / dikirim</x:v>
      </x:c>
      <x:c r="E28" s="8" t="str">
        <x:v>Bukti eksekusi dan terima sesuai metode</x:v>
      </x:c>
      <x:c r="F28" s="8" t="str">
        <x:v>F04</x:v>
      </x:c>
      <x:c r="G28" s="8" t="str">
        <x:v>Kedua sisi transfer tertaut</x:v>
      </x:c>
      <x:c r="H28" s="8" t="str">
        <x:v>Tanpa izin: sembunyikan. Tahap belum tepat: nonaktif dengan alasan. Periksa ulang izin, versi dan kondisi pada server.</x:v>
      </x:c>
    </x:row>
    <x:row r="29" ht="110" customHeight="1">
      <x:c r="A29" s="8" t="str">
        <x:v>Kas &amp; Bank / Giro</x:v>
      </x:c>
      <x:c r="B29" s="8" t="str">
        <x:v>Ubah draf
Posisi: Header sekunder</x:v>
      </x:c>
      <x:c r="C29" s="8" t="str">
        <x:v>Pemilik dokumen</x:v>
      </x:c>
      <x:c r="D29" s="8" t="str">
        <x:v>Draf / dikembalikan</x:v>
      </x:c>
      <x:c r="E29" s="8" t="str">
        <x:v>Versi terbaru dan dalam cakupan</x:v>
      </x:c>
      <x:c r="F29" s="8" t="str">
        <x:v>F05</x:v>
      </x:c>
      <x:c r="G29" s="8" t="str">
        <x:v>Masuk form; sumber final belum berubah</x:v>
      </x:c>
      <x:c r="H29" s="8" t="str">
        <x:v>Tanpa izin: sembunyikan. Tahap belum tepat: nonaktif dengan alasan. Periksa ulang izin, versi dan kondisi pada server.</x:v>
      </x:c>
    </x:row>
    <x:row r="30" ht="110" customHeight="1">
      <x:c r="A30" s="8" t="str">
        <x:v>Kas &amp; Bank / Giro</x:v>
      </x:c>
      <x:c r="B30" s="8" t="str">
        <x:v>Ajukan
Posisi: Footer tindakan</x:v>
      </x:c>
      <x:c r="C30" s="8" t="str">
        <x:v>Pengaju berizin</x:v>
      </x:c>
      <x:c r="D30" s="8" t="str">
        <x:v>Draf / dikembalikan</x:v>
      </x:c>
      <x:c r="E30" s="8" t="str">
        <x:v>Field/bukti lengkap; rincian valid; belum duplikat</x:v>
      </x:c>
      <x:c r="F30" s="8" t="str">
        <x:v>F05</x:v>
      </x:c>
      <x:c r="G30" s="8" t="str">
        <x:v>Dokumen terkunci untuk review</x:v>
      </x:c>
      <x:c r="H30" s="8" t="str">
        <x:v>Tanpa izin: sembunyikan. Tahap belum tepat: nonaktif dengan alasan. Periksa ulang izin, versi dan kondisi pada server.</x:v>
      </x:c>
    </x:row>
    <x:row r="31" ht="110" customHeight="1">
      <x:c r="A31" s="8" t="str">
        <x:v>Kas &amp; Bank / Giro</x:v>
      </x:c>
      <x:c r="B31" s="8" t="str">
        <x:v>Setujui
Posisi: Footer tindakan</x:v>
      </x:c>
      <x:c r="C31" s="8" t="str">
        <x:v>Reviewer sesuai mandat</x:v>
      </x:c>
      <x:c r="D31" s="8" t="str">
        <x:v>Menunggu review</x:v>
      </x:c>
      <x:c r="E31" s="8" t="str">
        <x:v>Versi terbaru; mandat/nominal/unit sah; pemisahan orang sesuai kebijakan</x:v>
      </x:c>
      <x:c r="F31" s="8" t="str">
        <x:v>F01</x:v>
      </x:c>
      <x:c r="G31" s="8" t="str">
        <x:v>Keputusan disimpan; tidak berarti sudah dibayar</x:v>
      </x:c>
      <x:c r="H31" s="8" t="str">
        <x:v>Tanpa izin: sembunyikan. Tahap belum tepat: nonaktif dengan alasan. Periksa ulang izin, versi dan kondisi pada server.</x:v>
      </x:c>
    </x:row>
    <x:row r="32" ht="110" customHeight="1">
      <x:c r="A32" s="8" t="str">
        <x:v>Kas &amp; Bank / Giro</x:v>
      </x:c>
      <x:c r="B32" s="8" t="str">
        <x:v>Terbitkan giro
Posisi: Footer tindakan</x:v>
      </x:c>
      <x:c r="C32" s="8" t="str">
        <x:v>Treasury</x:v>
      </x:c>
      <x:c r="D32" s="8" t="str">
        <x:v>Disetujui</x:v>
      </x:c>
      <x:c r="E32" s="8" t="str">
        <x:v>Nomor/bank/alokasi valid; akun outstanding sesuai bank</x:v>
      </x:c>
      <x:c r="F32" s="8" t="str">
        <x:v>F05</x:v>
      </x:c>
      <x:c r="G32" s="8" t="str">
        <x:v>Giro outstanding tertaut payment</x:v>
      </x:c>
      <x:c r="H32" s="8" t="str">
        <x:v>Tanpa izin: sembunyikan. Tahap belum tepat: nonaktif dengan alasan. Periksa ulang izin, versi dan kondisi pada server.</x:v>
      </x:c>
    </x:row>
    <x:row r="33" ht="110" customHeight="1">
      <x:c r="A33" s="8" t="str">
        <x:v>Kas &amp; Bank / Giro</x:v>
      </x:c>
      <x:c r="B33" s="8" t="str">
        <x:v>Catat pencairan
Posisi: Footer tindakan</x:v>
      </x:c>
      <x:c r="C33" s="8" t="str">
        <x:v>Treasury</x:v>
      </x:c>
      <x:c r="D33" s="8" t="str">
        <x:v>Diterbitkan dan belum cair</x:v>
      </x:c>
      <x:c r="E33" s="8" t="str">
        <x:v>Bukti aktual; bank sama; tidak dicatat dua kali</x:v>
      </x:c>
      <x:c r="F33" s="8" t="str">
        <x:v>F05</x:v>
      </x:c>
      <x:c r="G33" s="8" t="str">
        <x:v>Giro cair, bank dan outstanding diperbarui</x:v>
      </x:c>
      <x:c r="H33" s="8" t="str">
        <x:v>Tanpa izin: sembunyikan. Tahap belum tepat: nonaktif dengan alasan. Periksa ulang izin, versi dan kondisi pada server.</x:v>
      </x:c>
    </x:row>
    <x:row r="34" ht="110" customHeight="1">
      <x:c r="A34" s="8" t="str">
        <x:v>Kas &amp; Bank / Giro</x:v>
      </x:c>
      <x:c r="B34" s="8" t="str">
        <x:v>Catat ditolak / batalkan
Posisi: Footer tindakan</x:v>
      </x:c>
      <x:c r="C34" s="8" t="str">
        <x:v>Treasury / reviewer</x:v>
      </x:c>
      <x:c r="D34" s="8" t="str">
        <x:v>Diterbitkan</x:v>
      </x:c>
      <x:c r="E34" s="8" t="str">
        <x:v>Alasan/bukti; periksa belum cair; pembalikan yang sah</x:v>
      </x:c>
      <x:c r="F34" s="8" t="str">
        <x:v>F01 / F05</x:v>
      </x:c>
      <x:c r="G34" s="8" t="str">
        <x:v>Kejadian dan koreksi sumber tertaut</x:v>
      </x:c>
      <x:c r="H34" s="8" t="str">
        <x:v>Tanpa izin: sembunyikan. Tahap belum tepat: nonaktif dengan alasan. Periksa ulang izin, versi dan kondisi pada server.</x:v>
      </x:c>
    </x:row>
    <x:row r="35" ht="110" customHeight="1">
      <x:c r="A35" s="8" t="str">
        <x:v>Kas &amp; Bank / Rekonsiliasi</x:v>
      </x:c>
      <x:c r="B35" s="8" t="str">
        <x:v>Cocokkan
Posisi: Footer tindakan</x:v>
      </x:c>
      <x:c r="C35" s="8" t="str">
        <x:v>Treasury</x:v>
      </x:c>
      <x:c r="D35" s="8" t="str">
        <x:v>Belum / sebagian cocok</x:v>
      </x:c>
      <x:c r="E35" s="8" t="str">
        <x:v>Sisa dua sisi, arah dan rekening kompatibel</x:v>
      </x:c>
      <x:c r="F35" s="8" t="str">
        <x:v>F06</x:v>
      </x:c>
      <x:c r="G35" s="8" t="str">
        <x:v>Pasangan tersimpan</x:v>
      </x:c>
      <x:c r="H35" s="8" t="str">
        <x:v>Tanpa izin: sembunyikan. Tahap belum tepat: nonaktif dengan alasan. Periksa ulang izin, versi dan kondisi pada server.</x:v>
      </x:c>
    </x:row>
    <x:row r="36" ht="110" customHeight="1">
      <x:c r="A36" s="8" t="str">
        <x:v>Kas &amp; Bank / Rekonsiliasi</x:v>
      </x:c>
      <x:c r="B36" s="8" t="str">
        <x:v>Lepas pasangan
Posisi: Footer tindakan</x:v>
      </x:c>
      <x:c r="C36" s="8" t="str">
        <x:v>Treasury berwenang</x:v>
      </x:c>
      <x:c r="D36" s="8" t="str">
        <x:v>Cocok</x:v>
      </x:c>
      <x:c r="E36" s="8" t="str">
        <x:v>Alasan wajib; periode rekonsiliasi memungkinkan</x:v>
      </x:c>
      <x:c r="F36" s="8" t="str">
        <x:v>F06</x:v>
      </x:c>
      <x:c r="G36" s="8" t="str">
        <x:v>Pasangan dilepas; jurnal tidak dihapus</x:v>
      </x:c>
      <x:c r="H36" s="8" t="str">
        <x:v>Tanpa izin: sembunyikan. Tahap belum tepat: nonaktif dengan alasan. Periksa ulang izin, versi dan kondisi pada server.</x:v>
      </x:c>
    </x:row>
    <x:row r="37" ht="110" customHeight="1">
      <x:c r="A37" s="8" t="str">
        <x:v>Kas &amp; Bank / Rekonsiliasi</x:v>
      </x:c>
      <x:c r="B37" s="8" t="str">
        <x:v>Buat biaya dari mutasi
Posisi: Footer tindakan</x:v>
      </x:c>
      <x:c r="C37" s="8" t="str">
        <x:v>Treasury berwenang</x:v>
      </x:c>
      <x:c r="D37" s="8" t="str">
        <x:v>Belum cocok</x:v>
      </x:c>
      <x:c r="E37" s="8" t="str">
        <x:v>Mutasi belum dipakai; kategori sah; review sesuai mandat</x:v>
      </x:c>
      <x:c r="F37" s="8" t="str">
        <x:v>F06</x:v>
      </x:c>
      <x:c r="G37" s="8" t="str">
        <x:v>Satu transaksi bersumber baris bank</x:v>
      </x:c>
      <x:c r="H37" s="8" t="str">
        <x:v>Tanpa izin: sembunyikan. Tahap belum tepat: nonaktif dengan alasan. Periksa ulang izin, versi dan kondisi pada server.</x:v>
      </x:c>
    </x:row>
    <x:row r="38" ht="110" customHeight="1">
      <x:c r="A38" s="8" t="str">
        <x:v>Kas &amp; Bank / Rekonsiliasi</x:v>
      </x:c>
      <x:c r="B38" s="8" t="str">
        <x:v>Buka transaksi buku
Posisi: Isi panel</x:v>
      </x:c>
      <x:c r="C38" s="8" t="str">
        <x:v>Pembaca berizin</x:v>
      </x:c>
      <x:c r="D38" s="8" t="str">
        <x:v>Sumber tersedia</x:v>
      </x:c>
      <x:c r="E38" s="8" t="str">
        <x:v>Hak objek tujuan dan unit diperiksa</x:v>
      </x:c>
      <x:c r="F38" s="8" t="str">
        <x:v>Payment/receipt/jurnal sumber</x:v>
      </x:c>
      <x:c r="G38" s="8" t="str">
        <x:v>Membuka dokumen yang sama; tidak mengubah data</x:v>
      </x:c>
      <x:c r="H38" s="8" t="str">
        <x:v>Tanpa izin: sembunyikan. Tahap belum tepat: nonaktif dengan alasan. Periksa ulang izin, versi dan kondisi pada server.</x:v>
      </x:c>
    </x:row>
    <x:row r="39" ht="110" customHeight="1">
      <x:c r="A39" s="8" t="str">
        <x:v>Tagihan &amp; Pengeluaran / Tagihan</x:v>
      </x:c>
      <x:c r="B39" s="8" t="str">
        <x:v>Ubah draf
Posisi: Header sekunder</x:v>
      </x:c>
      <x:c r="C39" s="8" t="str">
        <x:v>Pemilik dokumen</x:v>
      </x:c>
      <x:c r="D39" s="8" t="str">
        <x:v>Draf / dikembalikan</x:v>
      </x:c>
      <x:c r="E39" s="8" t="str">
        <x:v>Versi terbaru dan dalam cakupan</x:v>
      </x:c>
      <x:c r="F39" s="8" t="str">
        <x:v>F07</x:v>
      </x:c>
      <x:c r="G39" s="8" t="str">
        <x:v>Masuk form; sumber final belum berubah</x:v>
      </x:c>
      <x:c r="H39" s="8" t="str">
        <x:v>Tanpa izin: sembunyikan. Tahap belum tepat: nonaktif dengan alasan. Periksa ulang izin, versi dan kondisi pada server.</x:v>
      </x:c>
    </x:row>
    <x:row r="40" ht="110" customHeight="1">
      <x:c r="A40" s="8" t="str">
        <x:v>Tagihan &amp; Pengeluaran / Tagihan</x:v>
      </x:c>
      <x:c r="B40" s="8" t="str">
        <x:v>Ajukan
Posisi: Footer tindakan</x:v>
      </x:c>
      <x:c r="C40" s="8" t="str">
        <x:v>Pengaju berizin</x:v>
      </x:c>
      <x:c r="D40" s="8" t="str">
        <x:v>Draf / dikembalikan</x:v>
      </x:c>
      <x:c r="E40" s="8" t="str">
        <x:v>Field/bukti lengkap; rincian valid; belum duplikat</x:v>
      </x:c>
      <x:c r="F40" s="8" t="str">
        <x:v>F07</x:v>
      </x:c>
      <x:c r="G40" s="8" t="str">
        <x:v>Dokumen terkunci untuk review</x:v>
      </x:c>
      <x:c r="H40" s="8" t="str">
        <x:v>Tanpa izin: sembunyikan. Tahap belum tepat: nonaktif dengan alasan. Periksa ulang izin, versi dan kondisi pada server.</x:v>
      </x:c>
    </x:row>
    <x:row r="41" ht="110" customHeight="1">
      <x:c r="A41" s="8" t="str">
        <x:v>Tagihan &amp; Pengeluaran / Tagihan</x:v>
      </x:c>
      <x:c r="B41" s="8" t="str">
        <x:v>Setujui
Posisi: Footer tindakan</x:v>
      </x:c>
      <x:c r="C41" s="8" t="str">
        <x:v>Reviewer sesuai mandat</x:v>
      </x:c>
      <x:c r="D41" s="8" t="str">
        <x:v>Menunggu review</x:v>
      </x:c>
      <x:c r="E41" s="8" t="str">
        <x:v>Versi terbaru; mandat/nominal/unit sah; pemisahan orang sesuai kebijakan</x:v>
      </x:c>
      <x:c r="F41" s="8" t="str">
        <x:v>F01</x:v>
      </x:c>
      <x:c r="G41" s="8" t="str">
        <x:v>Keputusan disimpan; tidak berarti sudah dibayar</x:v>
      </x:c>
      <x:c r="H41" s="8" t="str">
        <x:v>Tanpa izin: sembunyikan. Tahap belum tepat: nonaktif dengan alasan. Periksa ulang izin, versi dan kondisi pada server.</x:v>
      </x:c>
    </x:row>
    <x:row r="42" ht="110" customHeight="1">
      <x:c r="A42" s="8" t="str">
        <x:v>Tagihan &amp; Pengeluaran / Tagihan</x:v>
      </x:c>
      <x:c r="B42" s="8" t="str">
        <x:v>Kembalikan
Posisi: Menu tindakan</x:v>
      </x:c>
      <x:c r="C42" s="8" t="str">
        <x:v>Reviewer sesuai mandat</x:v>
      </x:c>
      <x:c r="D42" s="8" t="str">
        <x:v>Menunggu review</x:v>
      </x:c>
      <x:c r="E42" s="8" t="str">
        <x:v>Alasan dan bagian yang harus diperbaiki wajib</x:v>
      </x:c>
      <x:c r="F42" s="8" t="str">
        <x:v>F01</x:v>
      </x:c>
      <x:c r="G42" s="8" t="str">
        <x:v>Pemohon dapat merevisi versi pengajuan</x:v>
      </x:c>
      <x:c r="H42" s="8" t="str">
        <x:v>Tanpa izin: sembunyikan. Tahap belum tepat: nonaktif dengan alasan. Periksa ulang izin, versi dan kondisi pada server.</x:v>
      </x:c>
    </x:row>
    <x:row r="43" ht="110" customHeight="1">
      <x:c r="A43" s="8" t="str">
        <x:v>Tagihan &amp; Pengeluaran / Tagihan</x:v>
      </x:c>
      <x:c r="B43" s="8" t="str">
        <x:v>Ajukan koreksi / pembalikan
Posisi: Menu tindakan</x:v>
      </x:c>
      <x:c r="C43" s="8" t="str">
        <x:v>Pemilik / Akuntansi</x:v>
      </x:c>
      <x:c r="D43" s="8" t="str">
        <x:v>Sudah tercatat</x:v>
      </x:c>
      <x:c r="E43" s="8" t="str">
        <x:v>Periksa pembayaran, periode dan dokumen turunan; alasan wajib</x:v>
      </x:c>
      <x:c r="F43" s="8" t="str">
        <x:v>F01</x:v>
      </x:c>
      <x:c r="G43" s="8" t="str">
        <x:v>Dokumen koreksi tertaut; jurnal lama tidak dihapus</x:v>
      </x:c>
      <x:c r="H43" s="8" t="str">
        <x:v>Tanpa izin: sembunyikan. Tahap belum tepat: nonaktif dengan alasan. Periksa ulang izin, versi dan kondisi pada server.</x:v>
      </x:c>
    </x:row>
    <x:row r="44" ht="110" customHeight="1">
      <x:c r="A44" s="8" t="str">
        <x:v>Tagihan &amp; Pengeluaran / Tagihan</x:v>
      </x:c>
      <x:c r="B44" s="8" t="str">
        <x:v>Siapkan pembayaran
Posisi: Footer tindakan</x:v>
      </x:c>
      <x:c r="C44" s="8" t="str">
        <x:v>Pemilik kewajiban / Treasury</x:v>
      </x:c>
      <x:c r="D44" s="8" t="str">
        <x:v>Disetujui dan masih bersisa</x:v>
      </x:c>
      <x:c r="E44" s="8" t="str">
        <x:v>Sisa sumber benar; tidak sudah dibayar/diproses; bank/unit sah</x:v>
      </x:c>
      <x:c r="F44" s="8" t="str">
        <x:v>F02</x:v>
      </x:c>
      <x:c r="G44" s="8" t="str">
        <x:v>Satu payment beralokasi; terlihat di Kas &amp; Bank dan sumber</x:v>
      </x:c>
      <x:c r="H44" s="8" t="str">
        <x:v>Tanpa izin: sembunyikan. Tahap belum tepat: nonaktif dengan alasan. Periksa ulang izin, versi dan kondisi pada server.</x:v>
      </x:c>
    </x:row>
    <x:row r="45" ht="110" customHeight="1">
      <x:c r="A45" s="8" t="str">
        <x:v>Tagihan &amp; Pengeluaran / Tagihan</x:v>
      </x:c>
      <x:c r="B45" s="8" t="str">
        <x:v>Buka pembayaran
Posisi: Isi panel</x:v>
      </x:c>
      <x:c r="C45" s="8" t="str">
        <x:v>Pembaca berizin</x:v>
      </x:c>
      <x:c r="D45" s="8" t="str">
        <x:v>Sumber tersedia</x:v>
      </x:c>
      <x:c r="E45" s="8" t="str">
        <x:v>Hak objek tujuan dan unit diperiksa</x:v>
      </x:c>
      <x:c r="F45" s="8" t="str">
        <x:v>PAY sumber</x:v>
      </x:c>
      <x:c r="G45" s="8" t="str">
        <x:v>Membuka dokumen yang sama; tidak mengubah data</x:v>
      </x:c>
      <x:c r="H45" s="8" t="str">
        <x:v>Tanpa izin: sembunyikan. Tahap belum tepat: nonaktif dengan alasan. Periksa ulang izin, versi dan kondisi pada server.</x:v>
      </x:c>
    </x:row>
    <x:row r="46" ht="110" customHeight="1">
      <x:c r="A46" s="8" t="str">
        <x:v>Tagihan &amp; Pengeluaran / Klaim &amp; pengeluaran</x:v>
      </x:c>
      <x:c r="B46" s="8" t="str">
        <x:v>Ubah draf
Posisi: Header sekunder</x:v>
      </x:c>
      <x:c r="C46" s="8" t="str">
        <x:v>Pemilik dokumen</x:v>
      </x:c>
      <x:c r="D46" s="8" t="str">
        <x:v>Draf / dikembalikan</x:v>
      </x:c>
      <x:c r="E46" s="8" t="str">
        <x:v>Versi terbaru dan dalam cakupan</x:v>
      </x:c>
      <x:c r="F46" s="8" t="str">
        <x:v>F08</x:v>
      </x:c>
      <x:c r="G46" s="8" t="str">
        <x:v>Masuk form; sumber final belum berubah</x:v>
      </x:c>
      <x:c r="H46" s="8" t="str">
        <x:v>Tanpa izin: sembunyikan. Tahap belum tepat: nonaktif dengan alasan. Periksa ulang izin, versi dan kondisi pada server.</x:v>
      </x:c>
    </x:row>
    <x:row r="47" ht="110" customHeight="1">
      <x:c r="A47" s="8" t="str">
        <x:v>Tagihan &amp; Pengeluaran / Klaim &amp; pengeluaran</x:v>
      </x:c>
      <x:c r="B47" s="8" t="str">
        <x:v>Ajukan
Posisi: Footer tindakan</x:v>
      </x:c>
      <x:c r="C47" s="8" t="str">
        <x:v>Pengaju berizin</x:v>
      </x:c>
      <x:c r="D47" s="8" t="str">
        <x:v>Draf / dikembalikan</x:v>
      </x:c>
      <x:c r="E47" s="8" t="str">
        <x:v>Field/bukti lengkap; rincian valid; belum duplikat</x:v>
      </x:c>
      <x:c r="F47" s="8" t="str">
        <x:v>F08</x:v>
      </x:c>
      <x:c r="G47" s="8" t="str">
        <x:v>Dokumen terkunci untuk review</x:v>
      </x:c>
      <x:c r="H47" s="8" t="str">
        <x:v>Tanpa izin: sembunyikan. Tahap belum tepat: nonaktif dengan alasan. Periksa ulang izin, versi dan kondisi pada server.</x:v>
      </x:c>
    </x:row>
    <x:row r="48" ht="110" customHeight="1">
      <x:c r="A48" s="8" t="str">
        <x:v>Tagihan &amp; Pengeluaran / Klaim &amp; pengeluaran</x:v>
      </x:c>
      <x:c r="B48" s="8" t="str">
        <x:v>Setujui
Posisi: Footer tindakan</x:v>
      </x:c>
      <x:c r="C48" s="8" t="str">
        <x:v>Reviewer sesuai mandat</x:v>
      </x:c>
      <x:c r="D48" s="8" t="str">
        <x:v>Menunggu review</x:v>
      </x:c>
      <x:c r="E48" s="8" t="str">
        <x:v>Versi terbaru; mandat/nominal/unit sah; pemisahan orang sesuai kebijakan</x:v>
      </x:c>
      <x:c r="F48" s="8" t="str">
        <x:v>F01</x:v>
      </x:c>
      <x:c r="G48" s="8" t="str">
        <x:v>Keputusan disimpan; tidak berarti sudah dibayar</x:v>
      </x:c>
      <x:c r="H48" s="8" t="str">
        <x:v>Tanpa izin: sembunyikan. Tahap belum tepat: nonaktif dengan alasan. Periksa ulang izin, versi dan kondisi pada server.</x:v>
      </x:c>
    </x:row>
    <x:row r="49" ht="110" customHeight="1">
      <x:c r="A49" s="8" t="str">
        <x:v>Tagihan &amp; Pengeluaran / Klaim &amp; pengeluaran</x:v>
      </x:c>
      <x:c r="B49" s="8" t="str">
        <x:v>Kembalikan
Posisi: Menu tindakan</x:v>
      </x:c>
      <x:c r="C49" s="8" t="str">
        <x:v>Reviewer sesuai mandat</x:v>
      </x:c>
      <x:c r="D49" s="8" t="str">
        <x:v>Menunggu review</x:v>
      </x:c>
      <x:c r="E49" s="8" t="str">
        <x:v>Alasan dan bagian yang harus diperbaiki wajib</x:v>
      </x:c>
      <x:c r="F49" s="8" t="str">
        <x:v>F01</x:v>
      </x:c>
      <x:c r="G49" s="8" t="str">
        <x:v>Pemohon dapat merevisi versi pengajuan</x:v>
      </x:c>
      <x:c r="H49" s="8" t="str">
        <x:v>Tanpa izin: sembunyikan. Tahap belum tepat: nonaktif dengan alasan. Periksa ulang izin, versi dan kondisi pada server.</x:v>
      </x:c>
    </x:row>
    <x:row r="50" ht="110" customHeight="1">
      <x:c r="A50" s="8" t="str">
        <x:v>Tagihan &amp; Pengeluaran / Klaim &amp; pengeluaran</x:v>
      </x:c>
      <x:c r="B50" s="8" t="str">
        <x:v>Ajukan koreksi / pembalikan
Posisi: Menu tindakan</x:v>
      </x:c>
      <x:c r="C50" s="8" t="str">
        <x:v>Pemilik / Akuntansi</x:v>
      </x:c>
      <x:c r="D50" s="8" t="str">
        <x:v>Sudah tercatat</x:v>
      </x:c>
      <x:c r="E50" s="8" t="str">
        <x:v>Periksa pembayaran, periode dan dokumen turunan; alasan wajib</x:v>
      </x:c>
      <x:c r="F50" s="8" t="str">
        <x:v>F01</x:v>
      </x:c>
      <x:c r="G50" s="8" t="str">
        <x:v>Dokumen koreksi tertaut; jurnal lama tidak dihapus</x:v>
      </x:c>
      <x:c r="H50" s="8" t="str">
        <x:v>Tanpa izin: sembunyikan. Tahap belum tepat: nonaktif dengan alasan. Periksa ulang izin, versi dan kondisi pada server.</x:v>
      </x:c>
    </x:row>
    <x:row r="51" ht="110" customHeight="1">
      <x:c r="A51" s="8" t="str">
        <x:v>Tagihan &amp; Pengeluaran / Klaim &amp; pengeluaran</x:v>
      </x:c>
      <x:c r="B51" s="8" t="str">
        <x:v>Siapkan pembayaran
Posisi: Footer tindakan</x:v>
      </x:c>
      <x:c r="C51" s="8" t="str">
        <x:v>Pemilik kewajiban / Treasury</x:v>
      </x:c>
      <x:c r="D51" s="8" t="str">
        <x:v>Disetujui dan masih bersisa</x:v>
      </x:c>
      <x:c r="E51" s="8" t="str">
        <x:v>Sisa sumber benar; tidak sudah dibayar/diproses; bank/unit sah</x:v>
      </x:c>
      <x:c r="F51" s="8" t="str">
        <x:v>F02</x:v>
      </x:c>
      <x:c r="G51" s="8" t="str">
        <x:v>Satu payment beralokasi; terlihat di Kas &amp; Bank dan sumber</x:v>
      </x:c>
      <x:c r="H51" s="8" t="str">
        <x:v>Tanpa izin: sembunyikan. Tahap belum tepat: nonaktif dengan alasan. Periksa ulang izin, versi dan kondisi pada server.</x:v>
      </x:c>
    </x:row>
    <x:row r="52" ht="110" customHeight="1">
      <x:c r="A52" s="8" t="str">
        <x:v>Tagihan &amp; Pengeluaran / Uang muka</x:v>
      </x:c>
      <x:c r="B52" s="8" t="str">
        <x:v>Ubah draf
Posisi: Header sekunder</x:v>
      </x:c>
      <x:c r="C52" s="8" t="str">
        <x:v>Pemilik dokumen</x:v>
      </x:c>
      <x:c r="D52" s="8" t="str">
        <x:v>Draf / dikembalikan</x:v>
      </x:c>
      <x:c r="E52" s="8" t="str">
        <x:v>Versi terbaru dan dalam cakupan</x:v>
      </x:c>
      <x:c r="F52" s="8" t="str">
        <x:v>F09</x:v>
      </x:c>
      <x:c r="G52" s="8" t="str">
        <x:v>Masuk form; sumber final belum berubah</x:v>
      </x:c>
      <x:c r="H52" s="8" t="str">
        <x:v>Tanpa izin: sembunyikan. Tahap belum tepat: nonaktif dengan alasan. Periksa ulang izin, versi dan kondisi pada server.</x:v>
      </x:c>
    </x:row>
    <x:row r="53" ht="110" customHeight="1">
      <x:c r="A53" s="8" t="str">
        <x:v>Tagihan &amp; Pengeluaran / Uang muka</x:v>
      </x:c>
      <x:c r="B53" s="8" t="str">
        <x:v>Ajukan
Posisi: Footer tindakan</x:v>
      </x:c>
      <x:c r="C53" s="8" t="str">
        <x:v>Pengaju berizin</x:v>
      </x:c>
      <x:c r="D53" s="8" t="str">
        <x:v>Draf / dikembalikan</x:v>
      </x:c>
      <x:c r="E53" s="8" t="str">
        <x:v>Field/bukti lengkap; rincian valid; belum duplikat</x:v>
      </x:c>
      <x:c r="F53" s="8" t="str">
        <x:v>F09</x:v>
      </x:c>
      <x:c r="G53" s="8" t="str">
        <x:v>Dokumen terkunci untuk review</x:v>
      </x:c>
      <x:c r="H53" s="8" t="str">
        <x:v>Tanpa izin: sembunyikan. Tahap belum tepat: nonaktif dengan alasan. Periksa ulang izin, versi dan kondisi pada server.</x:v>
      </x:c>
    </x:row>
    <x:row r="54" ht="110" customHeight="1">
      <x:c r="A54" s="8" t="str">
        <x:v>Tagihan &amp; Pengeluaran / Uang muka</x:v>
      </x:c>
      <x:c r="B54" s="8" t="str">
        <x:v>Setujui
Posisi: Footer tindakan</x:v>
      </x:c>
      <x:c r="C54" s="8" t="str">
        <x:v>Reviewer sesuai mandat</x:v>
      </x:c>
      <x:c r="D54" s="8" t="str">
        <x:v>Menunggu review</x:v>
      </x:c>
      <x:c r="E54" s="8" t="str">
        <x:v>Versi terbaru; mandat/nominal/unit sah; pemisahan orang sesuai kebijakan</x:v>
      </x:c>
      <x:c r="F54" s="8" t="str">
        <x:v>F01</x:v>
      </x:c>
      <x:c r="G54" s="8" t="str">
        <x:v>Keputusan disimpan; tidak berarti sudah dibayar</x:v>
      </x:c>
      <x:c r="H54" s="8" t="str">
        <x:v>Tanpa izin: sembunyikan. Tahap belum tepat: nonaktif dengan alasan. Periksa ulang izin, versi dan kondisi pada server.</x:v>
      </x:c>
    </x:row>
    <x:row r="55" ht="110" customHeight="1">
      <x:c r="A55" s="8" t="str">
        <x:v>Tagihan &amp; Pengeluaran / Uang muka</x:v>
      </x:c>
      <x:c r="B55" s="8" t="str">
        <x:v>Kembalikan
Posisi: Menu tindakan</x:v>
      </x:c>
      <x:c r="C55" s="8" t="str">
        <x:v>Reviewer sesuai mandat</x:v>
      </x:c>
      <x:c r="D55" s="8" t="str">
        <x:v>Menunggu review</x:v>
      </x:c>
      <x:c r="E55" s="8" t="str">
        <x:v>Alasan dan bagian yang harus diperbaiki wajib</x:v>
      </x:c>
      <x:c r="F55" s="8" t="str">
        <x:v>F01</x:v>
      </x:c>
      <x:c r="G55" s="8" t="str">
        <x:v>Pemohon dapat merevisi versi pengajuan</x:v>
      </x:c>
      <x:c r="H55" s="8" t="str">
        <x:v>Tanpa izin: sembunyikan. Tahap belum tepat: nonaktif dengan alasan. Periksa ulang izin, versi dan kondisi pada server.</x:v>
      </x:c>
    </x:row>
    <x:row r="56" ht="110" customHeight="1">
      <x:c r="A56" s="8" t="str">
        <x:v>Tagihan &amp; Pengeluaran / Uang muka</x:v>
      </x:c>
      <x:c r="B56" s="8" t="str">
        <x:v>Ajukan koreksi / pembalikan
Posisi: Menu tindakan</x:v>
      </x:c>
      <x:c r="C56" s="8" t="str">
        <x:v>Pemilik / Akuntansi</x:v>
      </x:c>
      <x:c r="D56" s="8" t="str">
        <x:v>Sudah tercatat</x:v>
      </x:c>
      <x:c r="E56" s="8" t="str">
        <x:v>Periksa pembayaran, periode dan dokumen turunan; alasan wajib</x:v>
      </x:c>
      <x:c r="F56" s="8" t="str">
        <x:v>F01</x:v>
      </x:c>
      <x:c r="G56" s="8" t="str">
        <x:v>Dokumen koreksi tertaut; jurnal lama tidak dihapus</x:v>
      </x:c>
      <x:c r="H56" s="8" t="str">
        <x:v>Tanpa izin: sembunyikan. Tahap belum tepat: nonaktif dengan alasan. Periksa ulang izin, versi dan kondisi pada server.</x:v>
      </x:c>
    </x:row>
    <x:row r="57" ht="110" customHeight="1">
      <x:c r="A57" s="8" t="str">
        <x:v>Tagihan &amp; Pengeluaran / Uang muka</x:v>
      </x:c>
      <x:c r="B57" s="8" t="str">
        <x:v>Siapkan pembayaran
Posisi: Footer tindakan</x:v>
      </x:c>
      <x:c r="C57" s="8" t="str">
        <x:v>Pemilik kewajiban / Treasury</x:v>
      </x:c>
      <x:c r="D57" s="8" t="str">
        <x:v>Disetujui dan masih bersisa</x:v>
      </x:c>
      <x:c r="E57" s="8" t="str">
        <x:v>Sisa sumber benar; tidak sudah dibayar/diproses; bank/unit sah</x:v>
      </x:c>
      <x:c r="F57" s="8" t="str">
        <x:v>F02</x:v>
      </x:c>
      <x:c r="G57" s="8" t="str">
        <x:v>Satu payment beralokasi; terlihat di Kas &amp; Bank dan sumber</x:v>
      </x:c>
      <x:c r="H57" s="8" t="str">
        <x:v>Tanpa izin: sembunyikan. Tahap belum tepat: nonaktif dengan alasan. Periksa ulang izin, versi dan kondisi pada server.</x:v>
      </x:c>
    </x:row>
    <x:row r="58" ht="110" customHeight="1">
      <x:c r="A58" s="8" t="str">
        <x:v>Tagihan &amp; Pengeluaran / Uang muka</x:v>
      </x:c>
      <x:c r="B58" s="8" t="str">
        <x:v>Pertanggungjawabkan
Posisi: Footer tindakan</x:v>
      </x:c>
      <x:c r="C58" s="8" t="str">
        <x:v>Pemegang/AP</x:v>
      </x:c>
      <x:c r="D58" s="8" t="str">
        <x:v>Sudah dicairkan, masih terbuka</x:v>
      </x:c>
      <x:c r="E58" s="8" t="str">
        <x:v>Bukti dan kategori biaya; tidak duplikat klaim</x:v>
      </x:c>
      <x:c r="F58" s="8" t="str">
        <x:v>F10</x:v>
      </x:c>
      <x:c r="G58" s="8" t="str">
        <x:v>Likuidasi dan sisa tertelusur</x:v>
      </x:c>
      <x:c r="H58" s="8" t="str">
        <x:v>Tanpa izin: sembunyikan. Tahap belum tepat: nonaktif dengan alasan. Periksa ulang izin, versi dan kondisi pada server.</x:v>
      </x:c>
    </x:row>
    <x:row r="59" ht="110" customHeight="1">
      <x:c r="A59" s="8" t="str">
        <x:v>Tagihan &amp; Pengeluaran / Uang muka</x:v>
      </x:c>
      <x:c r="B59" s="8" t="str">
        <x:v>Catat pengembalian
Posisi: Footer tindakan</x:v>
      </x:c>
      <x:c r="C59" s="8" t="str">
        <x:v>Treasury/AP</x:v>
      </x:c>
      <x:c r="D59" s="8" t="str">
        <x:v>Ada sisa dikembalikan</x:v>
      </x:c>
      <x:c r="E59" s="8" t="str">
        <x:v>Bukti kas/bank aktual; alokasi ADV benar</x:v>
      </x:c>
      <x:c r="F59" s="8" t="str">
        <x:v>F03</x:v>
      </x:c>
      <x:c r="G59" s="8" t="str">
        <x:v>Receipt terkait mengurangi sisa sesuai posting</x:v>
      </x:c>
      <x:c r="H59" s="8" t="str">
        <x:v>Tanpa izin: sembunyikan. Tahap belum tepat: nonaktif dengan alasan. Periksa ulang izin, versi dan kondisi pada server.</x:v>
      </x:c>
    </x:row>
    <x:row r="60" ht="110" customHeight="1">
      <x:c r="A60" s="8" t="str">
        <x:v>Tagihan &amp; Pengeluaran / Biaya dibayar di muka</x:v>
      </x:c>
      <x:c r="B60" s="8" t="str">
        <x:v>Ubah draf
Posisi: Header sekunder</x:v>
      </x:c>
      <x:c r="C60" s="8" t="str">
        <x:v>Pemilik dokumen</x:v>
      </x:c>
      <x:c r="D60" s="8" t="str">
        <x:v>Draf / dikembalikan</x:v>
      </x:c>
      <x:c r="E60" s="8" t="str">
        <x:v>Versi terbaru dan dalam cakupan</x:v>
      </x:c>
      <x:c r="F60" s="8" t="str">
        <x:v>F11</x:v>
      </x:c>
      <x:c r="G60" s="8" t="str">
        <x:v>Masuk form; sumber final belum berubah</x:v>
      </x:c>
      <x:c r="H60" s="8" t="str">
        <x:v>Tanpa izin: sembunyikan. Tahap belum tepat: nonaktif dengan alasan. Periksa ulang izin, versi dan kondisi pada server.</x:v>
      </x:c>
    </x:row>
    <x:row r="61" ht="110" customHeight="1">
      <x:c r="A61" s="8" t="str">
        <x:v>Tagihan &amp; Pengeluaran / Biaya dibayar di muka</x:v>
      </x:c>
      <x:c r="B61" s="8" t="str">
        <x:v>Ajukan
Posisi: Footer tindakan</x:v>
      </x:c>
      <x:c r="C61" s="8" t="str">
        <x:v>Pengaju berizin</x:v>
      </x:c>
      <x:c r="D61" s="8" t="str">
        <x:v>Draf / dikembalikan</x:v>
      </x:c>
      <x:c r="E61" s="8" t="str">
        <x:v>Field/bukti lengkap; rincian valid; belum duplikat</x:v>
      </x:c>
      <x:c r="F61" s="8" t="str">
        <x:v>F11</x:v>
      </x:c>
      <x:c r="G61" s="8" t="str">
        <x:v>Dokumen terkunci untuk review</x:v>
      </x:c>
      <x:c r="H61" s="8" t="str">
        <x:v>Tanpa izin: sembunyikan. Tahap belum tepat: nonaktif dengan alasan. Periksa ulang izin, versi dan kondisi pada server.</x:v>
      </x:c>
    </x:row>
    <x:row r="62" ht="110" customHeight="1">
      <x:c r="A62" s="8" t="str">
        <x:v>Tagihan &amp; Pengeluaran / Biaya dibayar di muka</x:v>
      </x:c>
      <x:c r="B62" s="8" t="str">
        <x:v>Setujui
Posisi: Footer tindakan</x:v>
      </x:c>
      <x:c r="C62" s="8" t="str">
        <x:v>Reviewer sesuai mandat</x:v>
      </x:c>
      <x:c r="D62" s="8" t="str">
        <x:v>Menunggu review</x:v>
      </x:c>
      <x:c r="E62" s="8" t="str">
        <x:v>Versi terbaru; mandat/nominal/unit sah; pemisahan orang sesuai kebijakan</x:v>
      </x:c>
      <x:c r="F62" s="8" t="str">
        <x:v>F01</x:v>
      </x:c>
      <x:c r="G62" s="8" t="str">
        <x:v>Keputusan disimpan; tidak berarti sudah dibayar</x:v>
      </x:c>
      <x:c r="H62" s="8" t="str">
        <x:v>Tanpa izin: sembunyikan. Tahap belum tepat: nonaktif dengan alasan. Periksa ulang izin, versi dan kondisi pada server.</x:v>
      </x:c>
    </x:row>
    <x:row r="63" ht="110" customHeight="1">
      <x:c r="A63" s="8" t="str">
        <x:v>Tagihan &amp; Pengeluaran / Biaya dibayar di muka</x:v>
      </x:c>
      <x:c r="B63" s="8" t="str">
        <x:v>Kembalikan
Posisi: Menu tindakan</x:v>
      </x:c>
      <x:c r="C63" s="8" t="str">
        <x:v>Reviewer sesuai mandat</x:v>
      </x:c>
      <x:c r="D63" s="8" t="str">
        <x:v>Menunggu review</x:v>
      </x:c>
      <x:c r="E63" s="8" t="str">
        <x:v>Alasan dan bagian yang harus diperbaiki wajib</x:v>
      </x:c>
      <x:c r="F63" s="8" t="str">
        <x:v>F01</x:v>
      </x:c>
      <x:c r="G63" s="8" t="str">
        <x:v>Pemohon dapat merevisi versi pengajuan</x:v>
      </x:c>
      <x:c r="H63" s="8" t="str">
        <x:v>Tanpa izin: sembunyikan. Tahap belum tepat: nonaktif dengan alasan. Periksa ulang izin, versi dan kondisi pada server.</x:v>
      </x:c>
    </x:row>
    <x:row r="64" ht="110" customHeight="1">
      <x:c r="A64" s="8" t="str">
        <x:v>Tagihan &amp; Pengeluaran / Biaya dibayar di muka</x:v>
      </x:c>
      <x:c r="B64" s="8" t="str">
        <x:v>Ajukan koreksi / pembalikan
Posisi: Menu tindakan</x:v>
      </x:c>
      <x:c r="C64" s="8" t="str">
        <x:v>Pemilik / Akuntansi</x:v>
      </x:c>
      <x:c r="D64" s="8" t="str">
        <x:v>Sudah tercatat</x:v>
      </x:c>
      <x:c r="E64" s="8" t="str">
        <x:v>Periksa pembayaran, periode dan dokumen turunan; alasan wajib</x:v>
      </x:c>
      <x:c r="F64" s="8" t="str">
        <x:v>F01</x:v>
      </x:c>
      <x:c r="G64" s="8" t="str">
        <x:v>Dokumen koreksi tertaut; jurnal lama tidak dihapus</x:v>
      </x:c>
      <x:c r="H64" s="8" t="str">
        <x:v>Tanpa izin: sembunyikan. Tahap belum tepat: nonaktif dengan alasan. Periksa ulang izin, versi dan kondisi pada server.</x:v>
      </x:c>
    </x:row>
    <x:row r="65" ht="110" customHeight="1">
      <x:c r="A65" s="8" t="str">
        <x:v>Tagihan &amp; Pengeluaran / Biaya dibayar di muka</x:v>
      </x:c>
      <x:c r="B65" s="8" t="str">
        <x:v>Tinjau pengakuan periode
Posisi: Footer tindakan</x:v>
      </x:c>
      <x:c r="C65" s="8" t="str">
        <x:v>Pembaca berizin</x:v>
      </x:c>
      <x:c r="D65" s="8" t="str">
        <x:v>Sumber tersedia</x:v>
      </x:c>
      <x:c r="E65" s="8" t="str">
        <x:v>Hak objek tujuan dan unit diperiksa</x:v>
      </x:c>
      <x:c r="F65" s="8" t="str">
        <x:v>F22</x:v>
      </x:c>
      <x:c r="G65" s="8" t="str">
        <x:v>Membuka dokumen yang sama; tidak mengubah data</x:v>
      </x:c>
      <x:c r="H65" s="8" t="str">
        <x:v>Tanpa izin: sembunyikan. Tahap belum tepat: nonaktif dengan alasan. Periksa ulang izin, versi dan kondisi pada server.</x:v>
      </x:c>
    </x:row>
    <x:row r="66" ht="110" customHeight="1">
      <x:c r="A66" s="8" t="str">
        <x:v>Tagihan &amp; Pengeluaran / Biaya dibayar di muka</x:v>
      </x:c>
      <x:c r="B66" s="8" t="str">
        <x:v>Buka tagihan
Posisi: Isi panel</x:v>
      </x:c>
      <x:c r="C66" s="8" t="str">
        <x:v>Pembaca berizin</x:v>
      </x:c>
      <x:c r="D66" s="8" t="str">
        <x:v>Sumber tersedia</x:v>
      </x:c>
      <x:c r="E66" s="8" t="str">
        <x:v>Hak objek tujuan dan unit diperiksa</x:v>
      </x:c>
      <x:c r="F66" s="8" t="str">
        <x:v>BILL sumber</x:v>
      </x:c>
      <x:c r="G66" s="8" t="str">
        <x:v>Membuka dokumen yang sama; tidak mengubah data</x:v>
      </x:c>
      <x:c r="H66" s="8" t="str">
        <x:v>Tanpa izin: sembunyikan. Tahap belum tepat: nonaktif dengan alasan. Periksa ulang izin, versi dan kondisi pada server.</x:v>
      </x:c>
    </x:row>
    <x:row r="67" ht="110" customHeight="1">
      <x:c r="A67" s="8" t="str">
        <x:v>Penjualan &amp; Piutang / Penjualan</x:v>
      </x:c>
      <x:c r="B67" s="8" t="str">
        <x:v>Buka sumber penjualan
Posisi: Isi panel</x:v>
      </x:c>
      <x:c r="C67" s="8" t="str">
        <x:v>Pembaca berizin</x:v>
      </x:c>
      <x:c r="D67" s="8" t="str">
        <x:v>Sumber tersedia</x:v>
      </x:c>
      <x:c r="E67" s="8" t="str">
        <x:v>Hak objek tujuan dan unit diperiksa</x:v>
      </x:c>
      <x:c r="F67" s="8" t="str">
        <x:v>Sistem penjualan</x:v>
      </x:c>
      <x:c r="G67" s="8" t="str">
        <x:v>Membuka dokumen yang sama; tidak mengubah data</x:v>
      </x:c>
      <x:c r="H67" s="8" t="str">
        <x:v>Tanpa izin: sembunyikan. Tahap belum tepat: nonaktif dengan alasan. Periksa ulang izin, versi dan kondisi pada server.</x:v>
      </x:c>
    </x:row>
    <x:row r="68" ht="110" customHeight="1">
      <x:c r="A68" s="8" t="str">
        <x:v>Penjualan &amp; Piutang / Penjualan</x:v>
      </x:c>
      <x:c r="B68" s="8" t="str">
        <x:v>Validasi impor
Posisi: Footer tindakan</x:v>
      </x:c>
      <x:c r="C68" s="8" t="str">
        <x:v>AR</x:v>
      </x:c>
      <x:c r="D68" s="8" t="str">
        <x:v>Diterima / perlu tinjau</x:v>
      </x:c>
      <x:c r="E68" s="8" t="str">
        <x:v>Cek identitas, duplikat, unit, tanggal dan nominal</x:v>
      </x:c>
      <x:c r="F68" s="8" t="str">
        <x:v>F35</x:v>
      </x:c>
      <x:c r="G68" s="8" t="str">
        <x:v>Data tervalidasi atau baris ditolak dengan alasan</x:v>
      </x:c>
      <x:c r="H68" s="8" t="str">
        <x:v>Tanpa izin: sembunyikan. Tahap belum tepat: nonaktif dengan alasan. Periksa ulang izin, versi dan kondisi pada server.</x:v>
      </x:c>
    </x:row>
    <x:row r="69" ht="110" customHeight="1">
      <x:c r="A69" s="8" t="str">
        <x:v>Penjualan &amp; Piutang / Penjualan</x:v>
      </x:c>
      <x:c r="B69" s="8" t="str">
        <x:v>Buka settlement
Posisi: Isi panel</x:v>
      </x:c>
      <x:c r="C69" s="8" t="str">
        <x:v>Pembaca berizin</x:v>
      </x:c>
      <x:c r="D69" s="8" t="str">
        <x:v>Sumber tersedia</x:v>
      </x:c>
      <x:c r="E69" s="8" t="str">
        <x:v>Hak objek tujuan dan unit diperiksa</x:v>
      </x:c>
      <x:c r="F69" s="8" t="str">
        <x:v>SET sumber</x:v>
      </x:c>
      <x:c r="G69" s="8" t="str">
        <x:v>Membuka dokumen yang sama; tidak mengubah data</x:v>
      </x:c>
      <x:c r="H69" s="8" t="str">
        <x:v>Tanpa izin: sembunyikan. Tahap belum tepat: nonaktif dengan alasan. Periksa ulang izin, versi dan kondisi pada server.</x:v>
      </x:c>
    </x:row>
    <x:row r="70" ht="110" customHeight="1">
      <x:c r="A70" s="8" t="str">
        <x:v>Penjualan &amp; Piutang / Tagihan &amp; piutang</x:v>
      </x:c>
      <x:c r="B70" s="8" t="str">
        <x:v>Ubah draf
Posisi: Header sekunder</x:v>
      </x:c>
      <x:c r="C70" s="8" t="str">
        <x:v>Pemilik dokumen</x:v>
      </x:c>
      <x:c r="D70" s="8" t="str">
        <x:v>Draf / dikembalikan</x:v>
      </x:c>
      <x:c r="E70" s="8" t="str">
        <x:v>Versi terbaru dan dalam cakupan</x:v>
      </x:c>
      <x:c r="F70" s="8" t="str">
        <x:v>F12</x:v>
      </x:c>
      <x:c r="G70" s="8" t="str">
        <x:v>Masuk form; sumber final belum berubah</x:v>
      </x:c>
      <x:c r="H70" s="8" t="str">
        <x:v>Tanpa izin: sembunyikan. Tahap belum tepat: nonaktif dengan alasan. Periksa ulang izin, versi dan kondisi pada server.</x:v>
      </x:c>
    </x:row>
    <x:row r="71" ht="110" customHeight="1">
      <x:c r="A71" s="8" t="str">
        <x:v>Penjualan &amp; Piutang / Tagihan &amp; piutang</x:v>
      </x:c>
      <x:c r="B71" s="8" t="str">
        <x:v>Ajukan
Posisi: Footer tindakan</x:v>
      </x:c>
      <x:c r="C71" s="8" t="str">
        <x:v>Pengaju berizin</x:v>
      </x:c>
      <x:c r="D71" s="8" t="str">
        <x:v>Draf / dikembalikan</x:v>
      </x:c>
      <x:c r="E71" s="8" t="str">
        <x:v>Field/bukti lengkap; rincian valid; belum duplikat</x:v>
      </x:c>
      <x:c r="F71" s="8" t="str">
        <x:v>F12</x:v>
      </x:c>
      <x:c r="G71" s="8" t="str">
        <x:v>Dokumen terkunci untuk review</x:v>
      </x:c>
      <x:c r="H71" s="8" t="str">
        <x:v>Tanpa izin: sembunyikan. Tahap belum tepat: nonaktif dengan alasan. Periksa ulang izin, versi dan kondisi pada server.</x:v>
      </x:c>
    </x:row>
    <x:row r="72" ht="110" customHeight="1">
      <x:c r="A72" s="8" t="str">
        <x:v>Penjualan &amp; Piutang / Tagihan &amp; piutang</x:v>
      </x:c>
      <x:c r="B72" s="8" t="str">
        <x:v>Setujui
Posisi: Footer tindakan</x:v>
      </x:c>
      <x:c r="C72" s="8" t="str">
        <x:v>Reviewer sesuai mandat</x:v>
      </x:c>
      <x:c r="D72" s="8" t="str">
        <x:v>Menunggu review</x:v>
      </x:c>
      <x:c r="E72" s="8" t="str">
        <x:v>Versi terbaru; mandat/nominal/unit sah; pemisahan orang sesuai kebijakan</x:v>
      </x:c>
      <x:c r="F72" s="8" t="str">
        <x:v>F01</x:v>
      </x:c>
      <x:c r="G72" s="8" t="str">
        <x:v>Keputusan disimpan; tidak berarti sudah dibayar</x:v>
      </x:c>
      <x:c r="H72" s="8" t="str">
        <x:v>Tanpa izin: sembunyikan. Tahap belum tepat: nonaktif dengan alasan. Periksa ulang izin, versi dan kondisi pada server.</x:v>
      </x:c>
    </x:row>
    <x:row r="73" ht="110" customHeight="1">
      <x:c r="A73" s="8" t="str">
        <x:v>Penjualan &amp; Piutang / Tagihan &amp; piutang</x:v>
      </x:c>
      <x:c r="B73" s="8" t="str">
        <x:v>Kembalikan
Posisi: Menu tindakan</x:v>
      </x:c>
      <x:c r="C73" s="8" t="str">
        <x:v>Reviewer sesuai mandat</x:v>
      </x:c>
      <x:c r="D73" s="8" t="str">
        <x:v>Menunggu review</x:v>
      </x:c>
      <x:c r="E73" s="8" t="str">
        <x:v>Alasan dan bagian yang harus diperbaiki wajib</x:v>
      </x:c>
      <x:c r="F73" s="8" t="str">
        <x:v>F01</x:v>
      </x:c>
      <x:c r="G73" s="8" t="str">
        <x:v>Pemohon dapat merevisi versi pengajuan</x:v>
      </x:c>
      <x:c r="H73" s="8" t="str">
        <x:v>Tanpa izin: sembunyikan. Tahap belum tepat: nonaktif dengan alasan. Periksa ulang izin, versi dan kondisi pada server.</x:v>
      </x:c>
    </x:row>
    <x:row r="74" ht="110" customHeight="1">
      <x:c r="A74" s="8" t="str">
        <x:v>Penjualan &amp; Piutang / Tagihan &amp; piutang</x:v>
      </x:c>
      <x:c r="B74" s="8" t="str">
        <x:v>Ajukan koreksi / pembalikan
Posisi: Menu tindakan</x:v>
      </x:c>
      <x:c r="C74" s="8" t="str">
        <x:v>Pemilik / Akuntansi</x:v>
      </x:c>
      <x:c r="D74" s="8" t="str">
        <x:v>Sudah tercatat</x:v>
      </x:c>
      <x:c r="E74" s="8" t="str">
        <x:v>Periksa pembayaran, periode dan dokumen turunan; alasan wajib</x:v>
      </x:c>
      <x:c r="F74" s="8" t="str">
        <x:v>F01</x:v>
      </x:c>
      <x:c r="G74" s="8" t="str">
        <x:v>Dokumen koreksi tertaut; jurnal lama tidak dihapus</x:v>
      </x:c>
      <x:c r="H74" s="8" t="str">
        <x:v>Tanpa izin: sembunyikan. Tahap belum tepat: nonaktif dengan alasan. Periksa ulang izin, versi dan kondisi pada server.</x:v>
      </x:c>
    </x:row>
    <x:row r="75" ht="110" customHeight="1">
      <x:c r="A75" s="8" t="str">
        <x:v>Penjualan &amp; Piutang / Tagihan &amp; piutang</x:v>
      </x:c>
      <x:c r="B75" s="8" t="str">
        <x:v>Terbitkan invoice
Posisi: Footer tindakan</x:v>
      </x:c>
      <x:c r="C75" s="8" t="str">
        <x:v>AR berwenang</x:v>
      </x:c>
      <x:c r="D75" s="8" t="str">
        <x:v>Disetujui</x:v>
      </x:c>
      <x:c r="E75" s="8" t="str">
        <x:v>Sumber pendapatan dan versi sah</x:v>
      </x:c>
      <x:c r="F75" s="8" t="str">
        <x:v>F12</x:v>
      </x:c>
      <x:c r="G75" s="8" t="str">
        <x:v>Invoice terbit/tercatat sesuai proses</x:v>
      </x:c>
      <x:c r="H75" s="8" t="str">
        <x:v>Tanpa izin: sembunyikan. Tahap belum tepat: nonaktif dengan alasan. Periksa ulang izin, versi dan kondisi pada server.</x:v>
      </x:c>
    </x:row>
    <x:row r="76" ht="110" customHeight="1">
      <x:c r="A76" s="8" t="str">
        <x:v>Penjualan &amp; Piutang / Tagihan &amp; piutang</x:v>
      </x:c>
      <x:c r="B76" s="8" t="str">
        <x:v>Alokasikan penerimaan
Posisi: Footer tindakan</x:v>
      </x:c>
      <x:c r="C76" s="8" t="str">
        <x:v>AR/Treasury</x:v>
      </x:c>
      <x:c r="D76" s="8" t="str">
        <x:v>Masih ada piutang</x:v>
      </x:c>
      <x:c r="E76" s="8" t="str">
        <x:v>Receipt dan sisa invoice kompatibel</x:v>
      </x:c>
      <x:c r="F76" s="8" t="str">
        <x:v>F03</x:v>
      </x:c>
      <x:c r="G76" s="8" t="str">
        <x:v>Piutang teralokasi dengan receipt yang sama</x:v>
      </x:c>
      <x:c r="H76" s="8" t="str">
        <x:v>Tanpa izin: sembunyikan. Tahap belum tepat: nonaktif dengan alasan. Periksa ulang izin, versi dan kondisi pada server.</x:v>
      </x:c>
    </x:row>
    <x:row r="77" ht="110" customHeight="1">
      <x:c r="A77" s="8" t="str">
        <x:v>Penjualan &amp; Piutang / Settlement kanal</x:v>
      </x:c>
      <x:c r="B77" s="8" t="str">
        <x:v>Ubah draf
Posisi: Header sekunder</x:v>
      </x:c>
      <x:c r="C77" s="8" t="str">
        <x:v>Pemilik dokumen</x:v>
      </x:c>
      <x:c r="D77" s="8" t="str">
        <x:v>Draf / dikembalikan</x:v>
      </x:c>
      <x:c r="E77" s="8" t="str">
        <x:v>Versi terbaru dan dalam cakupan</x:v>
      </x:c>
      <x:c r="F77" s="8" t="str">
        <x:v>F13</x:v>
      </x:c>
      <x:c r="G77" s="8" t="str">
        <x:v>Masuk form; sumber final belum berubah</x:v>
      </x:c>
      <x:c r="H77" s="8" t="str">
        <x:v>Tanpa izin: sembunyikan. Tahap belum tepat: nonaktif dengan alasan. Periksa ulang izin, versi dan kondisi pada server.</x:v>
      </x:c>
    </x:row>
    <x:row r="78" ht="110" customHeight="1">
      <x:c r="A78" s="8" t="str">
        <x:v>Penjualan &amp; Piutang / Settlement kanal</x:v>
      </x:c>
      <x:c r="B78" s="8" t="str">
        <x:v>Cocokkan penjualan
Posisi: Footer tindakan</x:v>
      </x:c>
      <x:c r="C78" s="8" t="str">
        <x:v>AR</x:v>
      </x:c>
      <x:c r="D78" s="8" t="str">
        <x:v>Belum selesai</x:v>
      </x:c>
      <x:c r="E78" s="8" t="str">
        <x:v>Sumber penjualan dan statement tidak ganda</x:v>
      </x:c>
      <x:c r="F78" s="8" t="str">
        <x:v>F13</x:v>
      </x:c>
      <x:c r="G78" s="8" t="str">
        <x:v>Alokasi batch tertelusur</x:v>
      </x:c>
      <x:c r="H78" s="8" t="str">
        <x:v>Tanpa izin: sembunyikan. Tahap belum tepat: nonaktif dengan alasan. Periksa ulang izin, versi dan kondisi pada server.</x:v>
      </x:c>
    </x:row>
    <x:row r="79" ht="110" customHeight="1">
      <x:c r="A79" s="8" t="str">
        <x:v>Penjualan &amp; Piutang / Settlement kanal</x:v>
      </x:c>
      <x:c r="B79" s="8" t="str">
        <x:v>Tautkan penerimaan
Posisi: Footer tindakan</x:v>
      </x:c>
      <x:c r="C79" s="8" t="str">
        <x:v>AR/Treasury</x:v>
      </x:c>
      <x:c r="D79" s="8" t="str">
        <x:v>Dana diterima</x:v>
      </x:c>
      <x:c r="E79" s="8" t="str">
        <x:v>Pakai RCPT yang sama; neto/selisih dijelaskan</x:v>
      </x:c>
      <x:c r="F79" s="8" t="str">
        <x:v>F03 / F13</x:v>
      </x:c>
      <x:c r="G79" s="8" t="str">
        <x:v>Settlement dan kas terhubung</x:v>
      </x:c>
      <x:c r="H79" s="8" t="str">
        <x:v>Tanpa izin: sembunyikan. Tahap belum tepat: nonaktif dengan alasan. Periksa ulang izin, versi dan kondisi pada server.</x:v>
      </x:c>
    </x:row>
    <x:row r="80" ht="110" customHeight="1">
      <x:c r="A80" s="8" t="str">
        <x:v>Penjualan &amp; Piutang / Settlement kanal</x:v>
      </x:c>
      <x:c r="B80" s="8" t="str">
        <x:v>Selesaikan settlement
Posisi: Footer tindakan</x:v>
      </x:c>
      <x:c r="C80" s="8" t="str">
        <x:v>AR reviewer</x:v>
      </x:c>
      <x:c r="D80" s="8" t="str">
        <x:v>Cocok lengkap</x:v>
      </x:c>
      <x:c r="E80" s="8" t="str">
        <x:v>Bruto, biaya, neto dan penerimaan rekonsiliasi</x:v>
      </x:c>
      <x:c r="F80" s="8" t="str">
        <x:v>F13</x:v>
      </x:c>
      <x:c r="G80" s="8" t="str">
        <x:v>Settlement selesai</x:v>
      </x:c>
      <x:c r="H80" s="8" t="str">
        <x:v>Tanpa izin: sembunyikan. Tahap belum tepat: nonaktif dengan alasan. Periksa ulang izin, versi dan kondisi pada server.</x:v>
      </x:c>
    </x:row>
    <x:row r="81" ht="110" customHeight="1">
      <x:c r="A81" s="8" t="str">
        <x:v>Penjualan &amp; Piutang / Settlement kanal</x:v>
      </x:c>
      <x:c r="B81" s="8" t="str">
        <x:v>Ajukan koreksi / pembalikan
Posisi: Menu tindakan</x:v>
      </x:c>
      <x:c r="C81" s="8" t="str">
        <x:v>Pemilik / Akuntansi</x:v>
      </x:c>
      <x:c r="D81" s="8" t="str">
        <x:v>Sudah tercatat</x:v>
      </x:c>
      <x:c r="E81" s="8" t="str">
        <x:v>Periksa pembayaran, periode dan dokumen turunan; alasan wajib</x:v>
      </x:c>
      <x:c r="F81" s="8" t="str">
        <x:v>F01</x:v>
      </x:c>
      <x:c r="G81" s="8" t="str">
        <x:v>Dokumen koreksi tertaut; jurnal lama tidak dihapus</x:v>
      </x:c>
      <x:c r="H81" s="8" t="str">
        <x:v>Tanpa izin: sembunyikan. Tahap belum tepat: nonaktif dengan alasan. Periksa ulang izin, versi dan kondisi pada server.</x:v>
      </x:c>
    </x:row>
    <x:row r="82" ht="110" customHeight="1">
      <x:c r="A82" s="8" t="str">
        <x:v>Penjualan &amp; Piutang / Uang muka &amp; pengembalian</x:v>
      </x:c>
      <x:c r="B82" s="8" t="str">
        <x:v>Ubah draf
Posisi: Header sekunder</x:v>
      </x:c>
      <x:c r="C82" s="8" t="str">
        <x:v>Pemilik dokumen</x:v>
      </x:c>
      <x:c r="D82" s="8" t="str">
        <x:v>Draf / dikembalikan</x:v>
      </x:c>
      <x:c r="E82" s="8" t="str">
        <x:v>Versi terbaru dan dalam cakupan</x:v>
      </x:c>
      <x:c r="F82" s="8" t="str">
        <x:v>F14</x:v>
      </x:c>
      <x:c r="G82" s="8" t="str">
        <x:v>Masuk form; sumber final belum berubah</x:v>
      </x:c>
      <x:c r="H82" s="8" t="str">
        <x:v>Tanpa izin: sembunyikan. Tahap belum tepat: nonaktif dengan alasan. Periksa ulang izin, versi dan kondisi pada server.</x:v>
      </x:c>
    </x:row>
    <x:row r="83" ht="110" customHeight="1">
      <x:c r="A83" s="8" t="str">
        <x:v>Penjualan &amp; Piutang / Uang muka &amp; pengembalian</x:v>
      </x:c>
      <x:c r="B83" s="8" t="str">
        <x:v>Ajukan
Posisi: Footer tindakan</x:v>
      </x:c>
      <x:c r="C83" s="8" t="str">
        <x:v>Pengaju berizin</x:v>
      </x:c>
      <x:c r="D83" s="8" t="str">
        <x:v>Draf / dikembalikan</x:v>
      </x:c>
      <x:c r="E83" s="8" t="str">
        <x:v>Field/bukti lengkap; rincian valid; belum duplikat</x:v>
      </x:c>
      <x:c r="F83" s="8" t="str">
        <x:v>F14</x:v>
      </x:c>
      <x:c r="G83" s="8" t="str">
        <x:v>Dokumen terkunci untuk review</x:v>
      </x:c>
      <x:c r="H83" s="8" t="str">
        <x:v>Tanpa izin: sembunyikan. Tahap belum tepat: nonaktif dengan alasan. Periksa ulang izin, versi dan kondisi pada server.</x:v>
      </x:c>
    </x:row>
    <x:row r="84" ht="110" customHeight="1">
      <x:c r="A84" s="8" t="str">
        <x:v>Penjualan &amp; Piutang / Uang muka &amp; pengembalian</x:v>
      </x:c>
      <x:c r="B84" s="8" t="str">
        <x:v>Setujui
Posisi: Footer tindakan</x:v>
      </x:c>
      <x:c r="C84" s="8" t="str">
        <x:v>Reviewer sesuai mandat</x:v>
      </x:c>
      <x:c r="D84" s="8" t="str">
        <x:v>Menunggu review</x:v>
      </x:c>
      <x:c r="E84" s="8" t="str">
        <x:v>Versi terbaru; mandat/nominal/unit sah; pemisahan orang sesuai kebijakan</x:v>
      </x:c>
      <x:c r="F84" s="8" t="str">
        <x:v>F01</x:v>
      </x:c>
      <x:c r="G84" s="8" t="str">
        <x:v>Keputusan disimpan; tidak berarti sudah dibayar</x:v>
      </x:c>
      <x:c r="H84" s="8" t="str">
        <x:v>Tanpa izin: sembunyikan. Tahap belum tepat: nonaktif dengan alasan. Periksa ulang izin, versi dan kondisi pada server.</x:v>
      </x:c>
    </x:row>
    <x:row r="85" ht="110" customHeight="1">
      <x:c r="A85" s="8" t="str">
        <x:v>Penjualan &amp; Piutang / Uang muka &amp; pengembalian</x:v>
      </x:c>
      <x:c r="B85" s="8" t="str">
        <x:v>Kembalikan
Posisi: Menu tindakan</x:v>
      </x:c>
      <x:c r="C85" s="8" t="str">
        <x:v>Reviewer sesuai mandat</x:v>
      </x:c>
      <x:c r="D85" s="8" t="str">
        <x:v>Menunggu review</x:v>
      </x:c>
      <x:c r="E85" s="8" t="str">
        <x:v>Alasan dan bagian yang harus diperbaiki wajib</x:v>
      </x:c>
      <x:c r="F85" s="8" t="str">
        <x:v>F01</x:v>
      </x:c>
      <x:c r="G85" s="8" t="str">
        <x:v>Pemohon dapat merevisi versi pengajuan</x:v>
      </x:c>
      <x:c r="H85" s="8" t="str">
        <x:v>Tanpa izin: sembunyikan. Tahap belum tepat: nonaktif dengan alasan. Periksa ulang izin, versi dan kondisi pada server.</x:v>
      </x:c>
    </x:row>
    <x:row r="86" ht="110" customHeight="1">
      <x:c r="A86" s="8" t="str">
        <x:v>Penjualan &amp; Piutang / Uang muka &amp; pengembalian</x:v>
      </x:c>
      <x:c r="B86" s="8" t="str">
        <x:v>Ajukan koreksi / pembalikan
Posisi: Menu tindakan</x:v>
      </x:c>
      <x:c r="C86" s="8" t="str">
        <x:v>Pemilik / Akuntansi</x:v>
      </x:c>
      <x:c r="D86" s="8" t="str">
        <x:v>Sudah tercatat</x:v>
      </x:c>
      <x:c r="E86" s="8" t="str">
        <x:v>Periksa pembayaran, periode dan dokumen turunan; alasan wajib</x:v>
      </x:c>
      <x:c r="F86" s="8" t="str">
        <x:v>F01</x:v>
      </x:c>
      <x:c r="G86" s="8" t="str">
        <x:v>Dokumen koreksi tertaut; jurnal lama tidak dihapus</x:v>
      </x:c>
      <x:c r="H86" s="8" t="str">
        <x:v>Tanpa izin: sembunyikan. Tahap belum tepat: nonaktif dengan alasan. Periksa ulang izin, versi dan kondisi pada server.</x:v>
      </x:c>
    </x:row>
    <x:row r="87" ht="110" customHeight="1">
      <x:c r="A87" s="8" t="str">
        <x:v>Penjualan &amp; Piutang / Uang muka &amp; pengembalian</x:v>
      </x:c>
      <x:c r="B87" s="8" t="str">
        <x:v>Alokasikan uang muka
Posisi: Footer tindakan</x:v>
      </x:c>
      <x:c r="C87" s="8" t="str">
        <x:v>AR</x:v>
      </x:c>
      <x:c r="D87" s="8" t="str">
        <x:v>Uang muka bersisa</x:v>
      </x:c>
      <x:c r="E87" s="8" t="str">
        <x:v>Invoice dan pelanggan cocok; tidak melebihi sisa</x:v>
      </x:c>
      <x:c r="F87" s="8" t="str">
        <x:v>F14</x:v>
      </x:c>
      <x:c r="G87" s="8" t="str">
        <x:v>Saldo uang muka dialokasi</x:v>
      </x:c>
      <x:c r="H87" s="8" t="str">
        <x:v>Tanpa izin: sembunyikan. Tahap belum tepat: nonaktif dengan alasan. Periksa ulang izin, versi dan kondisi pada server.</x:v>
      </x:c>
    </x:row>
    <x:row r="88" ht="110" customHeight="1">
      <x:c r="A88" s="8" t="str">
        <x:v>Penjualan &amp; Piutang / Uang muka &amp; pengembalian</x:v>
      </x:c>
      <x:c r="B88" s="8" t="str">
        <x:v>Siapkan pembayaran
Posisi: Footer tindakan</x:v>
      </x:c>
      <x:c r="C88" s="8" t="str">
        <x:v>Pemilik kewajiban / Treasury</x:v>
      </x:c>
      <x:c r="D88" s="8" t="str">
        <x:v>Disetujui dan masih bersisa</x:v>
      </x:c>
      <x:c r="E88" s="8" t="str">
        <x:v>Sisa sumber benar; tidak sudah dibayar/diproses; bank/unit sah</x:v>
      </x:c>
      <x:c r="F88" s="8" t="str">
        <x:v>F02</x:v>
      </x:c>
      <x:c r="G88" s="8" t="str">
        <x:v>Satu payment beralokasi; terlihat di Kas &amp; Bank dan sumber</x:v>
      </x:c>
      <x:c r="H88" s="8" t="str">
        <x:v>Tanpa izin: sembunyikan. Tahap belum tepat: nonaktif dengan alasan. Periksa ulang izin, versi dan kondisi pada server.</x:v>
      </x:c>
    </x:row>
    <x:row r="89" ht="110" customHeight="1">
      <x:c r="A89" s="8" t="str">
        <x:v>Persediaan / Saldo &amp; mutasi</x:v>
      </x:c>
      <x:c r="B89" s="8" t="str">
        <x:v>Buka kartu stok
Posisi: Isi panel</x:v>
      </x:c>
      <x:c r="C89" s="8" t="str">
        <x:v>Pembaca berizin</x:v>
      </x:c>
      <x:c r="D89" s="8" t="str">
        <x:v>Sumber tersedia</x:v>
      </x:c>
      <x:c r="E89" s="8" t="str">
        <x:v>Hak objek tujuan dan unit diperiksa</x:v>
      </x:c>
      <x:c r="F89" s="8" t="str">
        <x:v>Mutasi persediaan</x:v>
      </x:c>
      <x:c r="G89" s="8" t="str">
        <x:v>Membuka dokumen yang sama; tidak mengubah data</x:v>
      </x:c>
      <x:c r="H89" s="8" t="str">
        <x:v>Tanpa izin: sembunyikan. Tahap belum tepat: nonaktif dengan alasan. Periksa ulang izin, versi dan kondisi pada server.</x:v>
      </x:c>
    </x:row>
    <x:row r="90" ht="110" customHeight="1">
      <x:c r="A90" s="8" t="str">
        <x:v>Persediaan / Saldo &amp; mutasi</x:v>
      </x:c>
      <x:c r="B90" s="8" t="str">
        <x:v>Buka pergerakan
Posisi: Isi panel</x:v>
      </x:c>
      <x:c r="C90" s="8" t="str">
        <x:v>Pembaca berizin</x:v>
      </x:c>
      <x:c r="D90" s="8" t="str">
        <x:v>Sumber tersedia</x:v>
      </x:c>
      <x:c r="E90" s="8" t="str">
        <x:v>Hak objek tujuan dan unit diperiksa</x:v>
      </x:c>
      <x:c r="F90" s="8" t="str">
        <x:v>Dokumen barang</x:v>
      </x:c>
      <x:c r="G90" s="8" t="str">
        <x:v>Membuka dokumen yang sama; tidak mengubah data</x:v>
      </x:c>
      <x:c r="H90" s="8" t="str">
        <x:v>Tanpa izin: sembunyikan. Tahap belum tepat: nonaktif dengan alasan. Periksa ulang izin, versi dan kondisi pada server.</x:v>
      </x:c>
    </x:row>
    <x:row r="91" ht="110" customHeight="1">
      <x:c r="A91" s="8" t="str">
        <x:v>Persediaan / Penerimaan &amp; pemakaian</x:v>
      </x:c>
      <x:c r="B91" s="8" t="str">
        <x:v>Buka penerimaan / pemakaian
Posisi: Isi panel</x:v>
      </x:c>
      <x:c r="C91" s="8" t="str">
        <x:v>Pembaca berizin</x:v>
      </x:c>
      <x:c r="D91" s="8" t="str">
        <x:v>Sumber tersedia</x:v>
      </x:c>
      <x:c r="E91" s="8" t="str">
        <x:v>Hak objek tujuan dan unit diperiksa</x:v>
      </x:c>
      <x:c r="F91" s="8" t="str">
        <x:v>Operasi sumber</x:v>
      </x:c>
      <x:c r="G91" s="8" t="str">
        <x:v>Membuka dokumen yang sama; tidak mengubah data</x:v>
      </x:c>
      <x:c r="H91" s="8" t="str">
        <x:v>Tanpa izin: sembunyikan. Tahap belum tepat: nonaktif dengan alasan. Periksa ulang izin, versi dan kondisi pada server.</x:v>
      </x:c>
    </x:row>
    <x:row r="92" ht="110" customHeight="1">
      <x:c r="A92" s="8" t="str">
        <x:v>Persediaan / Penerimaan &amp; pemakaian</x:v>
      </x:c>
      <x:c r="B92" s="8" t="str">
        <x:v>Tinjau penilaian
Posisi: Footer tindakan</x:v>
      </x:c>
      <x:c r="C92" s="8" t="str">
        <x:v>Finance persediaan</x:v>
      </x:c>
      <x:c r="D92" s="8" t="str">
        <x:v>Perlu validasi</x:v>
      </x:c>
      <x:c r="E92" s="8" t="str">
        <x:v>Qty sumber tetap; metode/nilai punya dasar</x:v>
      </x:c>
      <x:c r="F92" s="8" t="str">
        <x:v>F15</x:v>
      </x:c>
      <x:c r="G92" s="8" t="str">
        <x:v>Validasi penilaian tertelusur</x:v>
      </x:c>
      <x:c r="H92" s="8" t="str">
        <x:v>Tanpa izin: sembunyikan. Tahap belum tepat: nonaktif dengan alasan. Periksa ulang izin, versi dan kondisi pada server.</x:v>
      </x:c>
    </x:row>
    <x:row r="93" ht="110" customHeight="1">
      <x:c r="A93" s="8" t="str">
        <x:v>Persediaan / Penerimaan &amp; pemakaian</x:v>
      </x:c>
      <x:c r="B93" s="8" t="str">
        <x:v>Cocokkan tagihan
Posisi: Footer tindakan</x:v>
      </x:c>
      <x:c r="C93" s="8" t="str">
        <x:v>Pembaca berizin</x:v>
      </x:c>
      <x:c r="D93" s="8" t="str">
        <x:v>Sumber tersedia</x:v>
      </x:c>
      <x:c r="E93" s="8" t="str">
        <x:v>Hak objek tujuan dan unit diperiksa</x:v>
      </x:c>
      <x:c r="F93" s="8" t="str">
        <x:v>F07</x:v>
      </x:c>
      <x:c r="G93" s="8" t="str">
        <x:v>Membuka dokumen yang sama; tidak mengubah data</x:v>
      </x:c>
      <x:c r="H93" s="8" t="str">
        <x:v>Tanpa izin: sembunyikan. Tahap belum tepat: nonaktif dengan alasan. Periksa ulang izin, versi dan kondisi pada server.</x:v>
      </x:c>
    </x:row>
    <x:row r="94" ht="110" customHeight="1">
      <x:c r="A94" s="8" t="str">
        <x:v>Persediaan / Penerimaan &amp; pemakaian</x:v>
      </x:c>
      <x:c r="B94" s="8" t="str">
        <x:v>Ajukan koreksi / pembalikan
Posisi: Menu tindakan</x:v>
      </x:c>
      <x:c r="C94" s="8" t="str">
        <x:v>Pemilik / Akuntansi</x:v>
      </x:c>
      <x:c r="D94" s="8" t="str">
        <x:v>Sudah tercatat</x:v>
      </x:c>
      <x:c r="E94" s="8" t="str">
        <x:v>Periksa pembayaran, periode dan dokumen turunan; alasan wajib</x:v>
      </x:c>
      <x:c r="F94" s="8" t="str">
        <x:v>F01</x:v>
      </x:c>
      <x:c r="G94" s="8" t="str">
        <x:v>Dokumen koreksi tertaut; jurnal lama tidak dihapus</x:v>
      </x:c>
      <x:c r="H94" s="8" t="str">
        <x:v>Tanpa izin: sembunyikan. Tahap belum tepat: nonaktif dengan alasan. Periksa ulang izin, versi dan kondisi pada server.</x:v>
      </x:c>
    </x:row>
    <x:row r="95" ht="110" customHeight="1">
      <x:c r="A95" s="8" t="str">
        <x:v>Persediaan / Dalam perjalanan</x:v>
      </x:c>
      <x:c r="B95" s="8" t="str">
        <x:v>Buka pengiriman
Posisi: Isi panel</x:v>
      </x:c>
      <x:c r="C95" s="8" t="str">
        <x:v>Pembaca berizin</x:v>
      </x:c>
      <x:c r="D95" s="8" t="str">
        <x:v>Sumber tersedia</x:v>
      </x:c>
      <x:c r="E95" s="8" t="str">
        <x:v>Hak objek tujuan dan unit diperiksa</x:v>
      </x:c>
      <x:c r="F95" s="8" t="str">
        <x:v>Operasi sumber</x:v>
      </x:c>
      <x:c r="G95" s="8" t="str">
        <x:v>Membuka dokumen yang sama; tidak mengubah data</x:v>
      </x:c>
      <x:c r="H95" s="8" t="str">
        <x:v>Tanpa izin: sembunyikan. Tahap belum tepat: nonaktif dengan alasan. Periksa ulang izin, versi dan kondisi pada server.</x:v>
      </x:c>
    </x:row>
    <x:row r="96" ht="110" customHeight="1">
      <x:c r="A96" s="8" t="str">
        <x:v>Persediaan / Dalam perjalanan</x:v>
      </x:c>
      <x:c r="B96" s="8" t="str">
        <x:v>Konfirmasi penerimaan
Posisi: Footer tindakan</x:v>
      </x:c>
      <x:c r="C96" s="8" t="str">
        <x:v>Penerima berwenang</x:v>
      </x:c>
      <x:c r="D96" s="8" t="str">
        <x:v>Dikirim / sebagian diterima</x:v>
      </x:c>
      <x:c r="E96" s="8" t="str">
        <x:v>Bukti aktual; qty belum diterima; rule sudah sah/aktif</x:v>
      </x:c>
      <x:c r="F96" s="8" t="str">
        <x:v>F16</x:v>
      </x:c>
      <x:c r="G96" s="8" t="str">
        <x:v>Penerimaan dan transit diperbarui satu sumber</x:v>
      </x:c>
      <x:c r="H96" s="8" t="str">
        <x:v>Tanpa izin: sembunyikan. Tahap belum tepat: nonaktif dengan alasan. Periksa ulang izin, versi dan kondisi pada server.</x:v>
      </x:c>
    </x:row>
    <x:row r="97" ht="110" customHeight="1">
      <x:c r="A97" s="8" t="str">
        <x:v>Persediaan / Dalam perjalanan</x:v>
      </x:c>
      <x:c r="B97" s="8" t="str">
        <x:v>Tinjau selisih
Posisi: Footer tindakan</x:v>
      </x:c>
      <x:c r="C97" s="8" t="str">
        <x:v>Finance persediaan</x:v>
      </x:c>
      <x:c r="D97" s="8" t="str">
        <x:v>Ada selisih</x:v>
      </x:c>
      <x:c r="E97" s="8" t="str">
        <x:v>Penyebab/bukti dan owner jelas</x:v>
      </x:c>
      <x:c r="F97" s="8" t="str">
        <x:v>F16 / F19</x:v>
      </x:c>
      <x:c r="G97" s="8" t="str">
        <x:v>Kasus selisih terkait</x:v>
      </x:c>
      <x:c r="H97" s="8" t="str">
        <x:v>Tanpa izin: sembunyikan. Tahap belum tepat: nonaktif dengan alasan. Periksa ulang izin, versi dan kondisi pada server.</x:v>
      </x:c>
    </x:row>
    <x:row r="98" ht="110" customHeight="1">
      <x:c r="A98" s="8" t="str">
        <x:v>Persediaan / Dalam perjalanan</x:v>
      </x:c>
      <x:c r="B98" s="8" t="str">
        <x:v>Buka pasangan antarunit
Posisi: Isi panel</x:v>
      </x:c>
      <x:c r="C98" s="8" t="str">
        <x:v>Pembaca berizin</x:v>
      </x:c>
      <x:c r="D98" s="8" t="str">
        <x:v>Sumber tersedia</x:v>
      </x:c>
      <x:c r="E98" s="8" t="str">
        <x:v>Hak objek tujuan dan unit diperiksa</x:v>
      </x:c>
      <x:c r="F98" s="8" t="str">
        <x:v>IC sumber</x:v>
      </x:c>
      <x:c r="G98" s="8" t="str">
        <x:v>Membuka dokumen yang sama; tidak mengubah data</x:v>
      </x:c>
      <x:c r="H98" s="8" t="str">
        <x:v>Tanpa izin: sembunyikan. Tahap belum tepat: nonaktif dengan alasan. Periksa ulang izin, versi dan kondisi pada server.</x:v>
      </x:c>
    </x:row>
    <x:row r="99" ht="110" customHeight="1">
      <x:c r="A99" s="8" t="str">
        <x:v>Persediaan / Opname &amp; penyesuaian</x:v>
      </x:c>
      <x:c r="B99" s="8" t="str">
        <x:v>Ubah draf
Posisi: Header sekunder</x:v>
      </x:c>
      <x:c r="C99" s="8" t="str">
        <x:v>Pemilik dokumen</x:v>
      </x:c>
      <x:c r="D99" s="8" t="str">
        <x:v>Draf / dikembalikan</x:v>
      </x:c>
      <x:c r="E99" s="8" t="str">
        <x:v>Versi terbaru dan dalam cakupan</x:v>
      </x:c>
      <x:c r="F99" s="8" t="str">
        <x:v>F17</x:v>
      </x:c>
      <x:c r="G99" s="8" t="str">
        <x:v>Masuk form; sumber final belum berubah</x:v>
      </x:c>
      <x:c r="H99" s="8" t="str">
        <x:v>Tanpa izin: sembunyikan. Tahap belum tepat: nonaktif dengan alasan. Periksa ulang izin, versi dan kondisi pada server.</x:v>
      </x:c>
    </x:row>
    <x:row r="100" ht="110" customHeight="1">
      <x:c r="A100" s="8" t="str">
        <x:v>Persediaan / Opname &amp; penyesuaian</x:v>
      </x:c>
      <x:c r="B100" s="8" t="str">
        <x:v>Ajukan
Posisi: Footer tindakan</x:v>
      </x:c>
      <x:c r="C100" s="8" t="str">
        <x:v>Pengaju berizin</x:v>
      </x:c>
      <x:c r="D100" s="8" t="str">
        <x:v>Draf / dikembalikan</x:v>
      </x:c>
      <x:c r="E100" s="8" t="str">
        <x:v>Field/bukti lengkap; rincian valid; belum duplikat</x:v>
      </x:c>
      <x:c r="F100" s="8" t="str">
        <x:v>F17</x:v>
      </x:c>
      <x:c r="G100" s="8" t="str">
        <x:v>Dokumen terkunci untuk review</x:v>
      </x:c>
      <x:c r="H100" s="8" t="str">
        <x:v>Tanpa izin: sembunyikan. Tahap belum tepat: nonaktif dengan alasan. Periksa ulang izin, versi dan kondisi pada server.</x:v>
      </x:c>
    </x:row>
    <x:row r="101" ht="110" customHeight="1">
      <x:c r="A101" s="8" t="str">
        <x:v>Persediaan / Opname &amp; penyesuaian</x:v>
      </x:c>
      <x:c r="B101" s="8" t="str">
        <x:v>Setujui
Posisi: Footer tindakan</x:v>
      </x:c>
      <x:c r="C101" s="8" t="str">
        <x:v>Reviewer sesuai mandat</x:v>
      </x:c>
      <x:c r="D101" s="8" t="str">
        <x:v>Menunggu review</x:v>
      </x:c>
      <x:c r="E101" s="8" t="str">
        <x:v>Versi terbaru; mandat/nominal/unit sah; pemisahan orang sesuai kebijakan</x:v>
      </x:c>
      <x:c r="F101" s="8" t="str">
        <x:v>F01</x:v>
      </x:c>
      <x:c r="G101" s="8" t="str">
        <x:v>Keputusan disimpan; tidak berarti sudah dibayar</x:v>
      </x:c>
      <x:c r="H101" s="8" t="str">
        <x:v>Tanpa izin: sembunyikan. Tahap belum tepat: nonaktif dengan alasan. Periksa ulang izin, versi dan kondisi pada server.</x:v>
      </x:c>
    </x:row>
    <x:row r="102" ht="110" customHeight="1">
      <x:c r="A102" s="8" t="str">
        <x:v>Persediaan / Opname &amp; penyesuaian</x:v>
      </x:c>
      <x:c r="B102" s="8" t="str">
        <x:v>Kembalikan
Posisi: Menu tindakan</x:v>
      </x:c>
      <x:c r="C102" s="8" t="str">
        <x:v>Reviewer sesuai mandat</x:v>
      </x:c>
      <x:c r="D102" s="8" t="str">
        <x:v>Menunggu review</x:v>
      </x:c>
      <x:c r="E102" s="8" t="str">
        <x:v>Alasan dan bagian yang harus diperbaiki wajib</x:v>
      </x:c>
      <x:c r="F102" s="8" t="str">
        <x:v>F01</x:v>
      </x:c>
      <x:c r="G102" s="8" t="str">
        <x:v>Pemohon dapat merevisi versi pengajuan</x:v>
      </x:c>
      <x:c r="H102" s="8" t="str">
        <x:v>Tanpa izin: sembunyikan. Tahap belum tepat: nonaktif dengan alasan. Periksa ulang izin, versi dan kondisi pada server.</x:v>
      </x:c>
    </x:row>
    <x:row r="103" ht="110" customHeight="1">
      <x:c r="A103" s="8" t="str">
        <x:v>Persediaan / Opname &amp; penyesuaian</x:v>
      </x:c>
      <x:c r="B103" s="8" t="str">
        <x:v>Ajukan koreksi / pembalikan
Posisi: Menu tindakan</x:v>
      </x:c>
      <x:c r="C103" s="8" t="str">
        <x:v>Pemilik / Akuntansi</x:v>
      </x:c>
      <x:c r="D103" s="8" t="str">
        <x:v>Sudah tercatat</x:v>
      </x:c>
      <x:c r="E103" s="8" t="str">
        <x:v>Periksa pembayaran, periode dan dokumen turunan; alasan wajib</x:v>
      </x:c>
      <x:c r="F103" s="8" t="str">
        <x:v>F01</x:v>
      </x:c>
      <x:c r="G103" s="8" t="str">
        <x:v>Dokumen koreksi tertaut; jurnal lama tidak dihapus</x:v>
      </x:c>
      <x:c r="H103" s="8" t="str">
        <x:v>Tanpa izin: sembunyikan. Tahap belum tepat: nonaktif dengan alasan. Periksa ulang izin, versi dan kondisi pada server.</x:v>
      </x:c>
    </x:row>
    <x:row r="104" ht="110" customHeight="1">
      <x:c r="A104" s="8" t="str">
        <x:v>Persediaan / Opname &amp; penyesuaian</x:v>
      </x:c>
      <x:c r="B104" s="8" t="str">
        <x:v>Posting penyesuaian
Posisi: Footer tindakan</x:v>
      </x:c>
      <x:c r="C104" s="8" t="str">
        <x:v>Akuntansi berwenang</x:v>
      </x:c>
      <x:c r="D104" s="8" t="str">
        <x:v>Disetujui</x:v>
      </x:c>
      <x:c r="E104" s="8" t="str">
        <x:v>Periode terbuka; belum diposting; sumber sah</x:v>
      </x:c>
      <x:c r="F104" s="8" t="str">
        <x:v>F17</x:v>
      </x:c>
      <x:c r="G104" s="8" t="str">
        <x:v>Jurnal penyesuaian tertaut opname</x:v>
      </x:c>
      <x:c r="H104" s="8" t="str">
        <x:v>Tanpa izin: sembunyikan. Tahap belum tepat: nonaktif dengan alasan. Periksa ulang izin, versi dan kondisi pada server.</x:v>
      </x:c>
    </x:row>
    <x:row r="105" ht="110" customHeight="1">
      <x:c r="A105" s="8" t="str">
        <x:v>Antarunit / Saldo &amp; pasangan</x:v>
      </x:c>
      <x:c r="B105" s="8" t="str">
        <x:v>Buka rincian pihak
Posisi: Isi panel</x:v>
      </x:c>
      <x:c r="C105" s="8" t="str">
        <x:v>Pembaca berizin</x:v>
      </x:c>
      <x:c r="D105" s="8" t="str">
        <x:v>Sumber tersedia</x:v>
      </x:c>
      <x:c r="E105" s="8" t="str">
        <x:v>Hak objek tujuan dan unit diperiksa</x:v>
      </x:c>
      <x:c r="F105" s="8" t="str">
        <x:v>Transaksi IC</x:v>
      </x:c>
      <x:c r="G105" s="8" t="str">
        <x:v>Membuka dokumen yang sama; tidak mengubah data</x:v>
      </x:c>
      <x:c r="H105" s="8" t="str">
        <x:v>Tanpa izin: sembunyikan. Tahap belum tepat: nonaktif dengan alasan. Periksa ulang izin, versi dan kondisi pada server.</x:v>
      </x:c>
    </x:row>
    <x:row r="106" ht="110" customHeight="1">
      <x:c r="A106" s="8" t="str">
        <x:v>Antarunit / Saldo &amp; pasangan</x:v>
      </x:c>
      <x:c r="B106" s="8" t="str">
        <x:v>Rekonsiliasi
Posisi: Footer tindakan</x:v>
      </x:c>
      <x:c r="C106" s="8" t="str">
        <x:v>Finance antarunit</x:v>
      </x:c>
      <x:c r="D106" s="8" t="str">
        <x:v>Data tersedia</x:v>
      </x:c>
      <x:c r="E106" s="8" t="str">
        <x:v>Periode/kategori/pihak sama</x:v>
      </x:c>
      <x:c r="F106" s="8" t="str">
        <x:v>F19</x:v>
      </x:c>
      <x:c r="G106" s="8" t="str">
        <x:v>Bukti rekonsiliasi</x:v>
      </x:c>
      <x:c r="H106" s="8" t="str">
        <x:v>Tanpa izin: sembunyikan. Tahap belum tepat: nonaktif dengan alasan. Periksa ulang izin, versi dan kondisi pada server.</x:v>
      </x:c>
    </x:row>
    <x:row r="107" ht="110" customHeight="1">
      <x:c r="A107" s="8" t="str">
        <x:v>Antarunit / Transaksi</x:v>
      </x:c>
      <x:c r="B107" s="8" t="str">
        <x:v>Ubah draf
Posisi: Header sekunder</x:v>
      </x:c>
      <x:c r="C107" s="8" t="str">
        <x:v>Pemilik dokumen</x:v>
      </x:c>
      <x:c r="D107" s="8" t="str">
        <x:v>Draf / dikembalikan</x:v>
      </x:c>
      <x:c r="E107" s="8" t="str">
        <x:v>Versi terbaru dan dalam cakupan</x:v>
      </x:c>
      <x:c r="F107" s="8" t="str">
        <x:v>F18</x:v>
      </x:c>
      <x:c r="G107" s="8" t="str">
        <x:v>Masuk form; sumber final belum berubah</x:v>
      </x:c>
      <x:c r="H107" s="8" t="str">
        <x:v>Tanpa izin: sembunyikan. Tahap belum tepat: nonaktif dengan alasan. Periksa ulang izin, versi dan kondisi pada server.</x:v>
      </x:c>
    </x:row>
    <x:row r="108" ht="110" customHeight="1">
      <x:c r="A108" s="8" t="str">
        <x:v>Antarunit / Transaksi</x:v>
      </x:c>
      <x:c r="B108" s="8" t="str">
        <x:v>Ajukan
Posisi: Footer tindakan</x:v>
      </x:c>
      <x:c r="C108" s="8" t="str">
        <x:v>Pengaju berizin</x:v>
      </x:c>
      <x:c r="D108" s="8" t="str">
        <x:v>Draf / dikembalikan</x:v>
      </x:c>
      <x:c r="E108" s="8" t="str">
        <x:v>Field/bukti lengkap; rincian valid; belum duplikat</x:v>
      </x:c>
      <x:c r="F108" s="8" t="str">
        <x:v>F18</x:v>
      </x:c>
      <x:c r="G108" s="8" t="str">
        <x:v>Dokumen terkunci untuk review</x:v>
      </x:c>
      <x:c r="H108" s="8" t="str">
        <x:v>Tanpa izin: sembunyikan. Tahap belum tepat: nonaktif dengan alasan. Periksa ulang izin, versi dan kondisi pada server.</x:v>
      </x:c>
    </x:row>
    <x:row r="109" ht="110" customHeight="1">
      <x:c r="A109" s="8" t="str">
        <x:v>Antarunit / Transaksi</x:v>
      </x:c>
      <x:c r="B109" s="8" t="str">
        <x:v>Setujui
Posisi: Footer tindakan</x:v>
      </x:c>
      <x:c r="C109" s="8" t="str">
        <x:v>Reviewer sesuai mandat</x:v>
      </x:c>
      <x:c r="D109" s="8" t="str">
        <x:v>Menunggu review</x:v>
      </x:c>
      <x:c r="E109" s="8" t="str">
        <x:v>Versi terbaru; mandat/nominal/unit sah; pemisahan orang sesuai kebijakan</x:v>
      </x:c>
      <x:c r="F109" s="8" t="str">
        <x:v>F01</x:v>
      </x:c>
      <x:c r="G109" s="8" t="str">
        <x:v>Keputusan disimpan; tidak berarti sudah dibayar</x:v>
      </x:c>
      <x:c r="H109" s="8" t="str">
        <x:v>Tanpa izin: sembunyikan. Tahap belum tepat: nonaktif dengan alasan. Periksa ulang izin, versi dan kondisi pada server.</x:v>
      </x:c>
    </x:row>
    <x:row r="110" ht="110" customHeight="1">
      <x:c r="A110" s="8" t="str">
        <x:v>Antarunit / Transaksi</x:v>
      </x:c>
      <x:c r="B110" s="8" t="str">
        <x:v>Kembalikan
Posisi: Menu tindakan</x:v>
      </x:c>
      <x:c r="C110" s="8" t="str">
        <x:v>Reviewer sesuai mandat</x:v>
      </x:c>
      <x:c r="D110" s="8" t="str">
        <x:v>Menunggu review</x:v>
      </x:c>
      <x:c r="E110" s="8" t="str">
        <x:v>Alasan dan bagian yang harus diperbaiki wajib</x:v>
      </x:c>
      <x:c r="F110" s="8" t="str">
        <x:v>F01</x:v>
      </x:c>
      <x:c r="G110" s="8" t="str">
        <x:v>Pemohon dapat merevisi versi pengajuan</x:v>
      </x:c>
      <x:c r="H110" s="8" t="str">
        <x:v>Tanpa izin: sembunyikan. Tahap belum tepat: nonaktif dengan alasan. Periksa ulang izin, versi dan kondisi pada server.</x:v>
      </x:c>
    </x:row>
    <x:row r="111" ht="110" customHeight="1">
      <x:c r="A111" s="8" t="str">
        <x:v>Antarunit / Transaksi</x:v>
      </x:c>
      <x:c r="B111" s="8" t="str">
        <x:v>Ajukan koreksi / pembalikan
Posisi: Menu tindakan</x:v>
      </x:c>
      <x:c r="C111" s="8" t="str">
        <x:v>Pemilik / Akuntansi</x:v>
      </x:c>
      <x:c r="D111" s="8" t="str">
        <x:v>Sudah tercatat</x:v>
      </x:c>
      <x:c r="E111" s="8" t="str">
        <x:v>Periksa pembayaran, periode dan dokumen turunan; alasan wajib</x:v>
      </x:c>
      <x:c r="F111" s="8" t="str">
        <x:v>F01</x:v>
      </x:c>
      <x:c r="G111" s="8" t="str">
        <x:v>Dokumen koreksi tertaut; jurnal lama tidak dihapus</x:v>
      </x:c>
      <x:c r="H111" s="8" t="str">
        <x:v>Tanpa izin: sembunyikan. Tahap belum tepat: nonaktif dengan alasan. Periksa ulang izin, versi dan kondisi pada server.</x:v>
      </x:c>
    </x:row>
    <x:row r="112" ht="110" customHeight="1">
      <x:c r="A112" s="8" t="str">
        <x:v>Antarunit / Transaksi</x:v>
      </x:c>
      <x:c r="B112" s="8" t="str">
        <x:v>Buka dokumen sumber
Posisi: Isi panel</x:v>
      </x:c>
      <x:c r="C112" s="8" t="str">
        <x:v>Pembaca berizin</x:v>
      </x:c>
      <x:c r="D112" s="8" t="str">
        <x:v>Sumber tersedia</x:v>
      </x:c>
      <x:c r="E112" s="8" t="str">
        <x:v>Hak objek tujuan dan unit diperiksa</x:v>
      </x:c>
      <x:c r="F112" s="8" t="str">
        <x:v>Shipment/pendanaan/alokasi sumber</x:v>
      </x:c>
      <x:c r="G112" s="8" t="str">
        <x:v>Membuka dokumen yang sama; tidak mengubah data</x:v>
      </x:c>
      <x:c r="H112" s="8" t="str">
        <x:v>Tanpa izin: sembunyikan. Tahap belum tepat: nonaktif dengan alasan. Periksa ulang izin, versi dan kondisi pada server.</x:v>
      </x:c>
    </x:row>
    <x:row r="113" ht="110" customHeight="1">
      <x:c r="A113" s="8" t="str">
        <x:v>Antarunit / Penyelesaian</x:v>
      </x:c>
      <x:c r="B113" s="8" t="str">
        <x:v>Ubah draf
Posisi: Header sekunder</x:v>
      </x:c>
      <x:c r="C113" s="8" t="str">
        <x:v>Pemilik dokumen</x:v>
      </x:c>
      <x:c r="D113" s="8" t="str">
        <x:v>Draf / dikembalikan</x:v>
      </x:c>
      <x:c r="E113" s="8" t="str">
        <x:v>Versi terbaru dan dalam cakupan</x:v>
      </x:c>
      <x:c r="F113" s="8" t="str">
        <x:v>F18</x:v>
      </x:c>
      <x:c r="G113" s="8" t="str">
        <x:v>Masuk form; sumber final belum berubah</x:v>
      </x:c>
      <x:c r="H113" s="8" t="str">
        <x:v>Tanpa izin: sembunyikan. Tahap belum tepat: nonaktif dengan alasan. Periksa ulang izin, versi dan kondisi pada server.</x:v>
      </x:c>
    </x:row>
    <x:row r="114" ht="110" customHeight="1">
      <x:c r="A114" s="8" t="str">
        <x:v>Antarunit / Penyelesaian</x:v>
      </x:c>
      <x:c r="B114" s="8" t="str">
        <x:v>Ajukan
Posisi: Footer tindakan</x:v>
      </x:c>
      <x:c r="C114" s="8" t="str">
        <x:v>Pengaju berizin</x:v>
      </x:c>
      <x:c r="D114" s="8" t="str">
        <x:v>Draf / dikembalikan</x:v>
      </x:c>
      <x:c r="E114" s="8" t="str">
        <x:v>Field/bukti lengkap; rincian valid; belum duplikat</x:v>
      </x:c>
      <x:c r="F114" s="8" t="str">
        <x:v>F18</x:v>
      </x:c>
      <x:c r="G114" s="8" t="str">
        <x:v>Dokumen terkunci untuk review</x:v>
      </x:c>
      <x:c r="H114" s="8" t="str">
        <x:v>Tanpa izin: sembunyikan. Tahap belum tepat: nonaktif dengan alasan. Periksa ulang izin, versi dan kondisi pada server.</x:v>
      </x:c>
    </x:row>
    <x:row r="115" ht="110" customHeight="1">
      <x:c r="A115" s="8" t="str">
        <x:v>Antarunit / Penyelesaian</x:v>
      </x:c>
      <x:c r="B115" s="8" t="str">
        <x:v>Setujui
Posisi: Footer tindakan</x:v>
      </x:c>
      <x:c r="C115" s="8" t="str">
        <x:v>Reviewer sesuai mandat</x:v>
      </x:c>
      <x:c r="D115" s="8" t="str">
        <x:v>Menunggu review</x:v>
      </x:c>
      <x:c r="E115" s="8" t="str">
        <x:v>Versi terbaru; mandat/nominal/unit sah; pemisahan orang sesuai kebijakan</x:v>
      </x:c>
      <x:c r="F115" s="8" t="str">
        <x:v>F01</x:v>
      </x:c>
      <x:c r="G115" s="8" t="str">
        <x:v>Keputusan disimpan; tidak berarti sudah dibayar</x:v>
      </x:c>
      <x:c r="H115" s="8" t="str">
        <x:v>Tanpa izin: sembunyikan. Tahap belum tepat: nonaktif dengan alasan. Periksa ulang izin, versi dan kondisi pada server.</x:v>
      </x:c>
    </x:row>
    <x:row r="116" ht="110" customHeight="1">
      <x:c r="A116" s="8" t="str">
        <x:v>Antarunit / Penyelesaian</x:v>
      </x:c>
      <x:c r="B116" s="8" t="str">
        <x:v>Siapkan pembayaran
Posisi: Footer tindakan</x:v>
      </x:c>
      <x:c r="C116" s="8" t="str">
        <x:v>Pemilik kewajiban / Treasury</x:v>
      </x:c>
      <x:c r="D116" s="8" t="str">
        <x:v>Disetujui dan masih bersisa</x:v>
      </x:c>
      <x:c r="E116" s="8" t="str">
        <x:v>Sisa sumber benar; tidak sudah dibayar/diproses; bank/unit sah</x:v>
      </x:c>
      <x:c r="F116" s="8" t="str">
        <x:v>F02</x:v>
      </x:c>
      <x:c r="G116" s="8" t="str">
        <x:v>Satu payment beralokasi; terlihat di Kas &amp; Bank dan sumber</x:v>
      </x:c>
      <x:c r="H116" s="8" t="str">
        <x:v>Tanpa izin: sembunyikan. Tahap belum tepat: nonaktif dengan alasan. Periksa ulang izin, versi dan kondisi pada server.</x:v>
      </x:c>
    </x:row>
    <x:row r="117" ht="110" customHeight="1">
      <x:c r="A117" s="8" t="str">
        <x:v>Antarunit / Penyelesaian</x:v>
      </x:c>
      <x:c r="B117" s="8" t="str">
        <x:v>Alokasikan penyelesaian
Posisi: Footer tindakan</x:v>
      </x:c>
      <x:c r="C117" s="8" t="str">
        <x:v>Finance antarunit</x:v>
      </x:c>
      <x:c r="D117" s="8" t="str">
        <x:v>Payment aktual tersedia</x:v>
      </x:c>
      <x:c r="E117" s="8" t="str">
        <x:v>Jenis pendanaan/barang tepat; sisa cukup; kedua pihak tertaut</x:v>
      </x:c>
      <x:c r="F117" s="8" t="str">
        <x:v>F18</x:v>
      </x:c>
      <x:c r="G117" s="8" t="str">
        <x:v>Mengurangi keluarga saldo yang sama</x:v>
      </x:c>
      <x:c r="H117" s="8" t="str">
        <x:v>Tanpa izin: sembunyikan. Tahap belum tepat: nonaktif dengan alasan. Periksa ulang izin, versi dan kondisi pada server.</x:v>
      </x:c>
    </x:row>
    <x:row r="118" ht="110" customHeight="1">
      <x:c r="A118" s="8" t="str">
        <x:v>Antarunit / Penyelesaian</x:v>
      </x:c>
      <x:c r="B118" s="8" t="str">
        <x:v>Ajukan koreksi / pembalikan
Posisi: Menu tindakan</x:v>
      </x:c>
      <x:c r="C118" s="8" t="str">
        <x:v>Pemilik / Akuntansi</x:v>
      </x:c>
      <x:c r="D118" s="8" t="str">
        <x:v>Sudah tercatat</x:v>
      </x:c>
      <x:c r="E118" s="8" t="str">
        <x:v>Periksa pembayaran, periode dan dokumen turunan; alasan wajib</x:v>
      </x:c>
      <x:c r="F118" s="8" t="str">
        <x:v>F01</x:v>
      </x:c>
      <x:c r="G118" s="8" t="str">
        <x:v>Dokumen koreksi tertaut; jurnal lama tidak dihapus</x:v>
      </x:c>
      <x:c r="H118" s="8" t="str">
        <x:v>Tanpa izin: sembunyikan. Tahap belum tepat: nonaktif dengan alasan. Periksa ulang izin, versi dan kondisi pada server.</x:v>
      </x:c>
    </x:row>
    <x:row r="119" ht="110" customHeight="1">
      <x:c r="A119" s="8" t="str">
        <x:v>Antarunit / Rekonsiliasi</x:v>
      </x:c>
      <x:c r="B119" s="8" t="str">
        <x:v>Ubah draf
Posisi: Header sekunder</x:v>
      </x:c>
      <x:c r="C119" s="8" t="str">
        <x:v>Pemilik dokumen</x:v>
      </x:c>
      <x:c r="D119" s="8" t="str">
        <x:v>Draf / dikembalikan</x:v>
      </x:c>
      <x:c r="E119" s="8" t="str">
        <x:v>Versi terbaru dan dalam cakupan</x:v>
      </x:c>
      <x:c r="F119" s="8" t="str">
        <x:v>F19</x:v>
      </x:c>
      <x:c r="G119" s="8" t="str">
        <x:v>Masuk form; sumber final belum berubah</x:v>
      </x:c>
      <x:c r="H119" s="8" t="str">
        <x:v>Tanpa izin: sembunyikan. Tahap belum tepat: nonaktif dengan alasan. Periksa ulang izin, versi dan kondisi pada server.</x:v>
      </x:c>
    </x:row>
    <x:row r="120" ht="110" customHeight="1">
      <x:c r="A120" s="8" t="str">
        <x:v>Antarunit / Rekonsiliasi</x:v>
      </x:c>
      <x:c r="B120" s="8" t="str">
        <x:v>Tugaskan koreksi
Posisi: Menu tindakan</x:v>
      </x:c>
      <x:c r="C120" s="8" t="str">
        <x:v>Owner rekonsiliasi</x:v>
      </x:c>
      <x:c r="D120" s="8" t="str">
        <x:v>Selisih terbuka</x:v>
      </x:c>
      <x:c r="E120" s="8" t="str">
        <x:v>Pilih sumber yang salah dan owner</x:v>
      </x:c>
      <x:c r="F120" s="8" t="str">
        <x:v>F19</x:v>
      </x:c>
      <x:c r="G120" s="8" t="str">
        <x:v>Tindak lanjut pada sumber</x:v>
      </x:c>
      <x:c r="H120" s="8" t="str">
        <x:v>Tanpa izin: sembunyikan. Tahap belum tepat: nonaktif dengan alasan. Periksa ulang izin, versi dan kondisi pada server.</x:v>
      </x:c>
    </x:row>
    <x:row r="121" ht="110" customHeight="1">
      <x:c r="A121" s="8" t="str">
        <x:v>Antarunit / Rekonsiliasi</x:v>
      </x:c>
      <x:c r="B121" s="8" t="str">
        <x:v>Selesaikan rekonsiliasi
Posisi: Footer tindakan</x:v>
      </x:c>
      <x:c r="C121" s="8" t="str">
        <x:v>Reviewer</x:v>
      </x:c>
      <x:c r="D121" s="8" t="str">
        <x:v>Bukti lengkap</x:v>
      </x:c>
      <x:c r="E121" s="8" t="str">
        <x:v>Selisih nol atau penanganan sah; jangan jurnal otomatis</x:v>
      </x:c>
      <x:c r="F121" s="8" t="str">
        <x:v>F19</x:v>
      </x:c>
      <x:c r="G121" s="8" t="str">
        <x:v>Hasil review tersimpan</x:v>
      </x:c>
      <x:c r="H121" s="8" t="str">
        <x:v>Tanpa izin: sembunyikan. Tahap belum tepat: nonaktif dengan alasan. Periksa ulang izin, versi dan kondisi pada server.</x:v>
      </x:c>
    </x:row>
    <x:row r="122" ht="110" customHeight="1">
      <x:c r="A122" s="8" t="str">
        <x:v>Aset &amp; Proyek / Daftar aset</x:v>
      </x:c>
      <x:c r="B122" s="8" t="str">
        <x:v>Buka biaya sumber
Posisi: Isi panel</x:v>
      </x:c>
      <x:c r="C122" s="8" t="str">
        <x:v>Pembaca berizin</x:v>
      </x:c>
      <x:c r="D122" s="8" t="str">
        <x:v>Sumber tersedia</x:v>
      </x:c>
      <x:c r="E122" s="8" t="str">
        <x:v>Hak objek tujuan dan unit diperiksa</x:v>
      </x:c>
      <x:c r="F122" s="8" t="str">
        <x:v>BILL/PRJ</x:v>
      </x:c>
      <x:c r="G122" s="8" t="str">
        <x:v>Membuka dokumen yang sama; tidak mengubah data</x:v>
      </x:c>
      <x:c r="H122" s="8" t="str">
        <x:v>Tanpa izin: sembunyikan. Tahap belum tepat: nonaktif dengan alasan. Periksa ulang izin, versi dan kondisi pada server.</x:v>
      </x:c>
    </x:row>
    <x:row r="123" ht="110" customHeight="1">
      <x:c r="A123" s="8" t="str">
        <x:v>Aset &amp; Proyek / Daftar aset</x:v>
      </x:c>
      <x:c r="B123" s="8" t="str">
        <x:v>Ajukan perubahan / pergerakan
Posisi: Header sekunder</x:v>
      </x:c>
      <x:c r="C123" s="8" t="str">
        <x:v>Akuntan aset</x:v>
      </x:c>
      <x:c r="D123" s="8" t="str">
        <x:v>Status aset memungkinkan</x:v>
      </x:c>
      <x:c r="E123" s="8" t="str">
        <x:v>Dasar/kelas/tanggal sah</x:v>
      </x:c>
      <x:c r="F123" s="8" t="str">
        <x:v>F20 / F21</x:v>
      </x:c>
      <x:c r="G123" s="8" t="str">
        <x:v>Dokumen perubahan tertaut</x:v>
      </x:c>
      <x:c r="H123" s="8" t="str">
        <x:v>Tanpa izin: sembunyikan. Tahap belum tepat: nonaktif dengan alasan. Periksa ulang izin, versi dan kondisi pada server.</x:v>
      </x:c>
    </x:row>
    <x:row r="124" ht="110" customHeight="1">
      <x:c r="A124" s="8" t="str">
        <x:v>Aset &amp; Proyek / Daftar aset</x:v>
      </x:c>
      <x:c r="B124" s="8" t="str">
        <x:v>Buka jadwal
Posisi: Isi panel</x:v>
      </x:c>
      <x:c r="C124" s="8" t="str">
        <x:v>Pembaca berizin</x:v>
      </x:c>
      <x:c r="D124" s="8" t="str">
        <x:v>Sumber tersedia</x:v>
      </x:c>
      <x:c r="E124" s="8" t="str">
        <x:v>Hak objek tujuan dan unit diperiksa</x:v>
      </x:c>
      <x:c r="F124" s="8" t="str">
        <x:v>Jadwal aset</x:v>
      </x:c>
      <x:c r="G124" s="8" t="str">
        <x:v>Membuka dokumen yang sama; tidak mengubah data</x:v>
      </x:c>
      <x:c r="H124" s="8" t="str">
        <x:v>Tanpa izin: sembunyikan. Tahap belum tepat: nonaktif dengan alasan. Periksa ulang izin, versi dan kondisi pada server.</x:v>
      </x:c>
    </x:row>
    <x:row r="125" ht="110" customHeight="1">
      <x:c r="A125" s="8" t="str">
        <x:v>Aset &amp; Proyek / Proyek berjalan</x:v>
      </x:c>
      <x:c r="B125" s="8" t="str">
        <x:v>Ubah draf
Posisi: Header sekunder</x:v>
      </x:c>
      <x:c r="C125" s="8" t="str">
        <x:v>Pemilik dokumen</x:v>
      </x:c>
      <x:c r="D125" s="8" t="str">
        <x:v>Draf / dikembalikan</x:v>
      </x:c>
      <x:c r="E125" s="8" t="str">
        <x:v>Versi terbaru dan dalam cakupan</x:v>
      </x:c>
      <x:c r="F125" s="8" t="str">
        <x:v>F20</x:v>
      </x:c>
      <x:c r="G125" s="8" t="str">
        <x:v>Masuk form; sumber final belum berubah</x:v>
      </x:c>
      <x:c r="H125" s="8" t="str">
        <x:v>Tanpa izin: sembunyikan. Tahap belum tepat: nonaktif dengan alasan. Periksa ulang izin, versi dan kondisi pada server.</x:v>
      </x:c>
    </x:row>
    <x:row r="126" ht="110" customHeight="1">
      <x:c r="A126" s="8" t="str">
        <x:v>Aset &amp; Proyek / Proyek berjalan</x:v>
      </x:c>
      <x:c r="B126" s="8" t="str">
        <x:v>Ajukan
Posisi: Footer tindakan</x:v>
      </x:c>
      <x:c r="C126" s="8" t="str">
        <x:v>Pengaju berizin</x:v>
      </x:c>
      <x:c r="D126" s="8" t="str">
        <x:v>Draf / dikembalikan</x:v>
      </x:c>
      <x:c r="E126" s="8" t="str">
        <x:v>Field/bukti lengkap; rincian valid; belum duplikat</x:v>
      </x:c>
      <x:c r="F126" s="8" t="str">
        <x:v>F20</x:v>
      </x:c>
      <x:c r="G126" s="8" t="str">
        <x:v>Dokumen terkunci untuk review</x:v>
      </x:c>
      <x:c r="H126" s="8" t="str">
        <x:v>Tanpa izin: sembunyikan. Tahap belum tepat: nonaktif dengan alasan. Periksa ulang izin, versi dan kondisi pada server.</x:v>
      </x:c>
    </x:row>
    <x:row r="127" ht="110" customHeight="1">
      <x:c r="A127" s="8" t="str">
        <x:v>Aset &amp; Proyek / Proyek berjalan</x:v>
      </x:c>
      <x:c r="B127" s="8" t="str">
        <x:v>Setujui
Posisi: Footer tindakan</x:v>
      </x:c>
      <x:c r="C127" s="8" t="str">
        <x:v>Reviewer sesuai mandat</x:v>
      </x:c>
      <x:c r="D127" s="8" t="str">
        <x:v>Menunggu review</x:v>
      </x:c>
      <x:c r="E127" s="8" t="str">
        <x:v>Versi terbaru; mandat/nominal/unit sah; pemisahan orang sesuai kebijakan</x:v>
      </x:c>
      <x:c r="F127" s="8" t="str">
        <x:v>F01</x:v>
      </x:c>
      <x:c r="G127" s="8" t="str">
        <x:v>Keputusan disimpan; tidak berarti sudah dibayar</x:v>
      </x:c>
      <x:c r="H127" s="8" t="str">
        <x:v>Tanpa izin: sembunyikan. Tahap belum tepat: nonaktif dengan alasan. Periksa ulang izin, versi dan kondisi pada server.</x:v>
      </x:c>
    </x:row>
    <x:row r="128" ht="110" customHeight="1">
      <x:c r="A128" s="8" t="str">
        <x:v>Aset &amp; Proyek / Proyek berjalan</x:v>
      </x:c>
      <x:c r="B128" s="8" t="str">
        <x:v>Kembalikan
Posisi: Menu tindakan</x:v>
      </x:c>
      <x:c r="C128" s="8" t="str">
        <x:v>Reviewer sesuai mandat</x:v>
      </x:c>
      <x:c r="D128" s="8" t="str">
        <x:v>Menunggu review</x:v>
      </x:c>
      <x:c r="E128" s="8" t="str">
        <x:v>Alasan dan bagian yang harus diperbaiki wajib</x:v>
      </x:c>
      <x:c r="F128" s="8" t="str">
        <x:v>F01</x:v>
      </x:c>
      <x:c r="G128" s="8" t="str">
        <x:v>Pemohon dapat merevisi versi pengajuan</x:v>
      </x:c>
      <x:c r="H128" s="8" t="str">
        <x:v>Tanpa izin: sembunyikan. Tahap belum tepat: nonaktif dengan alasan. Periksa ulang izin, versi dan kondisi pada server.</x:v>
      </x:c>
    </x:row>
    <x:row r="129" ht="110" customHeight="1">
      <x:c r="A129" s="8" t="str">
        <x:v>Aset &amp; Proyek / Proyek berjalan</x:v>
      </x:c>
      <x:c r="B129" s="8" t="str">
        <x:v>Ajukan koreksi / pembalikan
Posisi: Menu tindakan</x:v>
      </x:c>
      <x:c r="C129" s="8" t="str">
        <x:v>Pemilik / Akuntansi</x:v>
      </x:c>
      <x:c r="D129" s="8" t="str">
        <x:v>Sudah tercatat</x:v>
      </x:c>
      <x:c r="E129" s="8" t="str">
        <x:v>Periksa pembayaran, periode dan dokumen turunan; alasan wajib</x:v>
      </x:c>
      <x:c r="F129" s="8" t="str">
        <x:v>F01</x:v>
      </x:c>
      <x:c r="G129" s="8" t="str">
        <x:v>Dokumen koreksi tertaut; jurnal lama tidak dihapus</x:v>
      </x:c>
      <x:c r="H129" s="8" t="str">
        <x:v>Tanpa izin: sembunyikan. Tahap belum tepat: nonaktif dengan alasan. Periksa ulang izin, versi dan kondisi pada server.</x:v>
      </x:c>
    </x:row>
    <x:row r="130" ht="110" customHeight="1">
      <x:c r="A130" s="8" t="str">
        <x:v>Aset &amp; Proyek / Proyek berjalan</x:v>
      </x:c>
      <x:c r="B130" s="8" t="str">
        <x:v>Tautkan biaya
Posisi: Footer tindakan</x:v>
      </x:c>
      <x:c r="C130" s="8" t="str">
        <x:v>Akuntan aset</x:v>
      </x:c>
      <x:c r="D130" s="8" t="str">
        <x:v>Proyek berjalan</x:v>
      </x:c>
      <x:c r="E130" s="8" t="str">
        <x:v>Sisa biaya sumber tersedia; tidak duplikat</x:v>
      </x:c>
      <x:c r="F130" s="8" t="str">
        <x:v>F20</x:v>
      </x:c>
      <x:c r="G130" s="8" t="str">
        <x:v>Alokasi biaya proyek</x:v>
      </x:c>
      <x:c r="H130" s="8" t="str">
        <x:v>Tanpa izin: sembunyikan. Tahap belum tepat: nonaktif dengan alasan. Periksa ulang izin, versi dan kondisi pada server.</x:v>
      </x:c>
    </x:row>
    <x:row r="131" ht="110" customHeight="1">
      <x:c r="A131" s="8" t="str">
        <x:v>Aset &amp; Proyek / Proyek berjalan</x:v>
      </x:c>
      <x:c r="B131" s="8" t="str">
        <x:v>Kapitalisasi
Posisi: Footer tindakan</x:v>
      </x:c>
      <x:c r="C131" s="8" t="str">
        <x:v>Akuntan berwenang</x:v>
      </x:c>
      <x:c r="D131" s="8" t="str">
        <x:v>Disetujui dan siap pakai</x:v>
      </x:c>
      <x:c r="E131" s="8" t="str">
        <x:v>Bukti siap pakai; kelas dan sisa biaya tepat</x:v>
      </x:c>
      <x:c r="F131" s="8" t="str">
        <x:v>F20</x:v>
      </x:c>
      <x:c r="G131" s="8" t="str">
        <x:v>Aset terbentuk dari biaya yang sama</x:v>
      </x:c>
      <x:c r="H131" s="8" t="str">
        <x:v>Tanpa izin: sembunyikan. Tahap belum tepat: nonaktif dengan alasan. Periksa ulang izin, versi dan kondisi pada server.</x:v>
      </x:c>
    </x:row>
    <x:row r="132" ht="110" customHeight="1">
      <x:c r="A132" s="8" t="str">
        <x:v>Aset &amp; Proyek / Penyusutan &amp; amortisasi</x:v>
      </x:c>
      <x:c r="B132" s="8" t="str">
        <x:v>Buka aset / dasar
Posisi: Isi panel</x:v>
      </x:c>
      <x:c r="C132" s="8" t="str">
        <x:v>Pembaca berizin</x:v>
      </x:c>
      <x:c r="D132" s="8" t="str">
        <x:v>Sumber tersedia</x:v>
      </x:c>
      <x:c r="E132" s="8" t="str">
        <x:v>Hak objek tujuan dan unit diperiksa</x:v>
      </x:c>
      <x:c r="F132" s="8" t="str">
        <x:v>AST sumber</x:v>
      </x:c>
      <x:c r="G132" s="8" t="str">
        <x:v>Membuka dokumen yang sama; tidak mengubah data</x:v>
      </x:c>
      <x:c r="H132" s="8" t="str">
        <x:v>Tanpa izin: sembunyikan. Tahap belum tepat: nonaktif dengan alasan. Periksa ulang izin, versi dan kondisi pada server.</x:v>
      </x:c>
    </x:row>
    <x:row r="133" ht="110" customHeight="1">
      <x:c r="A133" s="8" t="str">
        <x:v>Aset &amp; Proyek / Penyusutan &amp; amortisasi</x:v>
      </x:c>
      <x:c r="B133" s="8" t="str">
        <x:v>Tinjau pengakuan
Posisi: Footer tindakan</x:v>
      </x:c>
      <x:c r="C133" s="8" t="str">
        <x:v>Akuntansi</x:v>
      </x:c>
      <x:c r="D133" s="8" t="str">
        <x:v>Usulan periode</x:v>
      </x:c>
      <x:c r="E133" s="8" t="str">
        <x:v>Jadwal sah; belum posted; periode terbuka</x:v>
      </x:c>
      <x:c r="F133" s="8" t="str">
        <x:v>F22</x:v>
      </x:c>
      <x:c r="G133" s="8" t="str">
        <x:v>Usulan siap review</x:v>
      </x:c>
      <x:c r="H133" s="8" t="str">
        <x:v>Tanpa izin: sembunyikan. Tahap belum tepat: nonaktif dengan alasan. Periksa ulang izin, versi dan kondisi pada server.</x:v>
      </x:c>
    </x:row>
    <x:row r="134" ht="110" customHeight="1">
      <x:c r="A134" s="8" t="str">
        <x:v>Aset &amp; Proyek / Penyusutan &amp; amortisasi</x:v>
      </x:c>
      <x:c r="B134" s="8" t="str">
        <x:v>Posting periode
Posisi: Footer tindakan</x:v>
      </x:c>
      <x:c r="C134" s="8" t="str">
        <x:v>Akuntansi berwenang</x:v>
      </x:c>
      <x:c r="D134" s="8" t="str">
        <x:v>Disetujui</x:v>
      </x:c>
      <x:c r="E134" s="8" t="str">
        <x:v>Satu posting per jadwal/periode</x:v>
      </x:c>
      <x:c r="F134" s="8" t="str">
        <x:v>F22</x:v>
      </x:c>
      <x:c r="G134" s="8" t="str">
        <x:v>Jurnal penyusutan/amortisasi terkait</x:v>
      </x:c>
      <x:c r="H134" s="8" t="str">
        <x:v>Tanpa izin: sembunyikan. Tahap belum tepat: nonaktif dengan alasan. Periksa ulang izin, versi dan kondisi pada server.</x:v>
      </x:c>
    </x:row>
    <x:row r="135" ht="110" customHeight="1">
      <x:c r="A135" s="8" t="str">
        <x:v>Aset &amp; Proyek / Transfer &amp; pelepasan</x:v>
      </x:c>
      <x:c r="B135" s="8" t="str">
        <x:v>Ubah draf
Posisi: Header sekunder</x:v>
      </x:c>
      <x:c r="C135" s="8" t="str">
        <x:v>Pemilik dokumen</x:v>
      </x:c>
      <x:c r="D135" s="8" t="str">
        <x:v>Draf / dikembalikan</x:v>
      </x:c>
      <x:c r="E135" s="8" t="str">
        <x:v>Versi terbaru dan dalam cakupan</x:v>
      </x:c>
      <x:c r="F135" s="8" t="str">
        <x:v>F21</x:v>
      </x:c>
      <x:c r="G135" s="8" t="str">
        <x:v>Masuk form; sumber final belum berubah</x:v>
      </x:c>
      <x:c r="H135" s="8" t="str">
        <x:v>Tanpa izin: sembunyikan. Tahap belum tepat: nonaktif dengan alasan. Periksa ulang izin, versi dan kondisi pada server.</x:v>
      </x:c>
    </x:row>
    <x:row r="136" ht="110" customHeight="1">
      <x:c r="A136" s="8" t="str">
        <x:v>Aset &amp; Proyek / Transfer &amp; pelepasan</x:v>
      </x:c>
      <x:c r="B136" s="8" t="str">
        <x:v>Ajukan
Posisi: Footer tindakan</x:v>
      </x:c>
      <x:c r="C136" s="8" t="str">
        <x:v>Pengaju berizin</x:v>
      </x:c>
      <x:c r="D136" s="8" t="str">
        <x:v>Draf / dikembalikan</x:v>
      </x:c>
      <x:c r="E136" s="8" t="str">
        <x:v>Field/bukti lengkap; rincian valid; belum duplikat</x:v>
      </x:c>
      <x:c r="F136" s="8" t="str">
        <x:v>F21</x:v>
      </x:c>
      <x:c r="G136" s="8" t="str">
        <x:v>Dokumen terkunci untuk review</x:v>
      </x:c>
      <x:c r="H136" s="8" t="str">
        <x:v>Tanpa izin: sembunyikan. Tahap belum tepat: nonaktif dengan alasan. Periksa ulang izin, versi dan kondisi pada server.</x:v>
      </x:c>
    </x:row>
    <x:row r="137" ht="110" customHeight="1">
      <x:c r="A137" s="8" t="str">
        <x:v>Aset &amp; Proyek / Transfer &amp; pelepasan</x:v>
      </x:c>
      <x:c r="B137" s="8" t="str">
        <x:v>Setujui
Posisi: Footer tindakan</x:v>
      </x:c>
      <x:c r="C137" s="8" t="str">
        <x:v>Reviewer sesuai mandat</x:v>
      </x:c>
      <x:c r="D137" s="8" t="str">
        <x:v>Menunggu review</x:v>
      </x:c>
      <x:c r="E137" s="8" t="str">
        <x:v>Versi terbaru; mandat/nominal/unit sah; pemisahan orang sesuai kebijakan</x:v>
      </x:c>
      <x:c r="F137" s="8" t="str">
        <x:v>F01</x:v>
      </x:c>
      <x:c r="G137" s="8" t="str">
        <x:v>Keputusan disimpan; tidak berarti sudah dibayar</x:v>
      </x:c>
      <x:c r="H137" s="8" t="str">
        <x:v>Tanpa izin: sembunyikan. Tahap belum tepat: nonaktif dengan alasan. Periksa ulang izin, versi dan kondisi pada server.</x:v>
      </x:c>
    </x:row>
    <x:row r="138" ht="110" customHeight="1">
      <x:c r="A138" s="8" t="str">
        <x:v>Aset &amp; Proyek / Transfer &amp; pelepasan</x:v>
      </x:c>
      <x:c r="B138" s="8" t="str">
        <x:v>Kembalikan
Posisi: Menu tindakan</x:v>
      </x:c>
      <x:c r="C138" s="8" t="str">
        <x:v>Reviewer sesuai mandat</x:v>
      </x:c>
      <x:c r="D138" s="8" t="str">
        <x:v>Menunggu review</x:v>
      </x:c>
      <x:c r="E138" s="8" t="str">
        <x:v>Alasan dan bagian yang harus diperbaiki wajib</x:v>
      </x:c>
      <x:c r="F138" s="8" t="str">
        <x:v>F01</x:v>
      </x:c>
      <x:c r="G138" s="8" t="str">
        <x:v>Pemohon dapat merevisi versi pengajuan</x:v>
      </x:c>
      <x:c r="H138" s="8" t="str">
        <x:v>Tanpa izin: sembunyikan. Tahap belum tepat: nonaktif dengan alasan. Periksa ulang izin, versi dan kondisi pada server.</x:v>
      </x:c>
    </x:row>
    <x:row r="139" ht="110" customHeight="1">
      <x:c r="A139" s="8" t="str">
        <x:v>Aset &amp; Proyek / Transfer &amp; pelepasan</x:v>
      </x:c>
      <x:c r="B139" s="8" t="str">
        <x:v>Ajukan koreksi / pembalikan
Posisi: Menu tindakan</x:v>
      </x:c>
      <x:c r="C139" s="8" t="str">
        <x:v>Pemilik / Akuntansi</x:v>
      </x:c>
      <x:c r="D139" s="8" t="str">
        <x:v>Sudah tercatat</x:v>
      </x:c>
      <x:c r="E139" s="8" t="str">
        <x:v>Periksa pembayaran, periode dan dokumen turunan; alasan wajib</x:v>
      </x:c>
      <x:c r="F139" s="8" t="str">
        <x:v>F01</x:v>
      </x:c>
      <x:c r="G139" s="8" t="str">
        <x:v>Dokumen koreksi tertaut; jurnal lama tidak dihapus</x:v>
      </x:c>
      <x:c r="H139" s="8" t="str">
        <x:v>Tanpa izin: sembunyikan. Tahap belum tepat: nonaktif dengan alasan. Periksa ulang izin, versi dan kondisi pada server.</x:v>
      </x:c>
    </x:row>
    <x:row r="140" ht="110" customHeight="1">
      <x:c r="A140" s="8" t="str">
        <x:v>Aset &amp; Proyek / Transfer &amp; pelepasan</x:v>
      </x:c>
      <x:c r="B140" s="8" t="str">
        <x:v>Konfirmasi pelaksanaan
Posisi: Footer tindakan</x:v>
      </x:c>
      <x:c r="C140" s="8" t="str">
        <x:v>Pemilik proses</x:v>
      </x:c>
      <x:c r="D140" s="8" t="str">
        <x:v>Disetujui</x:v>
      </x:c>
      <x:c r="E140" s="8" t="str">
        <x:v>Bukti serah terima/penjualan; nilai buku benar</x:v>
      </x:c>
      <x:c r="F140" s="8" t="str">
        <x:v>F21</x:v>
      </x:c>
      <x:c r="G140" s="8" t="str">
        <x:v>Pergerakan aset dan jurnal tertaut</x:v>
      </x:c>
      <x:c r="H140" s="8" t="str">
        <x:v>Tanpa izin: sembunyikan. Tahap belum tepat: nonaktif dengan alasan. Periksa ulang izin, versi dan kondisi pada server.</x:v>
      </x:c>
    </x:row>
    <x:row r="141" ht="110" customHeight="1">
      <x:c r="A141" s="8" t="str">
        <x:v>Aset &amp; Proyek / Transfer &amp; pelepasan</x:v>
      </x:c>
      <x:c r="B141" s="8" t="str">
        <x:v>Buka penerimaan penjualan
Posisi: Isi panel</x:v>
      </x:c>
      <x:c r="C141" s="8" t="str">
        <x:v>Pembaca berizin</x:v>
      </x:c>
      <x:c r="D141" s="8" t="str">
        <x:v>Sumber tersedia</x:v>
      </x:c>
      <x:c r="E141" s="8" t="str">
        <x:v>Hak objek tujuan dan unit diperiksa</x:v>
      </x:c>
      <x:c r="F141" s="8" t="str">
        <x:v>RCPT sumber</x:v>
      </x:c>
      <x:c r="G141" s="8" t="str">
        <x:v>Membuka dokumen yang sama; tidak mengubah data</x:v>
      </x:c>
      <x:c r="H141" s="8" t="str">
        <x:v>Tanpa izin: sembunyikan. Tahap belum tepat: nonaktif dengan alasan. Periksa ulang izin, versi dan kondisi pada server.</x:v>
      </x:c>
    </x:row>
    <x:row r="142" ht="110" customHeight="1">
      <x:c r="A142" s="8" t="str">
        <x:v>Payroll / Batch payroll</x:v>
      </x:c>
      <x:c r="B142" s="8" t="str">
        <x:v>Buka batch HR
Posisi: Isi panel</x:v>
      </x:c>
      <x:c r="C142" s="8" t="str">
        <x:v>Pembaca berizin</x:v>
      </x:c>
      <x:c r="D142" s="8" t="str">
        <x:v>Sumber tersedia</x:v>
      </x:c>
      <x:c r="E142" s="8" t="str">
        <x:v>Hak objek tujuan dan unit diperiksa</x:v>
      </x:c>
      <x:c r="F142" s="8" t="str">
        <x:v>HR sumber</x:v>
      </x:c>
      <x:c r="G142" s="8" t="str">
        <x:v>Membuka dokumen yang sama; tidak mengubah data</x:v>
      </x:c>
      <x:c r="H142" s="8" t="str">
        <x:v>Tanpa izin: sembunyikan. Tahap belum tepat: nonaktif dengan alasan. Periksa ulang izin, versi dan kondisi pada server.</x:v>
      </x:c>
    </x:row>
    <x:row r="143" ht="110" customHeight="1">
      <x:c r="A143" s="8" t="str">
        <x:v>Payroll / Batch payroll</x:v>
      </x:c>
      <x:c r="B143" s="8" t="str">
        <x:v>Terima batch HR
Posisi: Footer tindakan</x:v>
      </x:c>
      <x:c r="C143" s="8" t="str">
        <x:v>Finance payroll</x:v>
      </x:c>
      <x:c r="D143" s="8" t="str">
        <x:v>HR approved, lengkap, sealed</x:v>
      </x:c>
      <x:c r="E143" s="8" t="str">
        <x:v>Versi/mapping sah; kirim ulang tidak ganda</x:v>
      </x:c>
      <x:c r="F143" s="8" t="str">
        <x:v>F23</x:v>
      </x:c>
      <x:c r="G143" s="8" t="str">
        <x:v>Kewajiban batch sumber tercatat sesuai proses</x:v>
      </x:c>
      <x:c r="H143" s="8" t="str">
        <x:v>Tanpa izin: sembunyikan. Tahap belum tepat: nonaktif dengan alasan. Periksa ulang izin, versi dan kondisi pada server.</x:v>
      </x:c>
    </x:row>
    <x:row r="144" ht="110" customHeight="1">
      <x:c r="A144" s="8" t="str">
        <x:v>Payroll / Batch payroll</x:v>
      </x:c>
      <x:c r="B144" s="8" t="str">
        <x:v>Kembalikan ke HR
Posisi: Menu tindakan</x:v>
      </x:c>
      <x:c r="C144" s="8" t="str">
        <x:v>Finance payroll</x:v>
      </x:c>
      <x:c r="D144" s="8" t="str">
        <x:v>Perlu perbaikan</x:v>
      </x:c>
      <x:c r="E144" s="8" t="str">
        <x:v>Alasan dan komponen bermasalah jelas</x:v>
      </x:c>
      <x:c r="F144" s="8" t="str">
        <x:v>F23</x:v>
      </x:c>
      <x:c r="G144" s="8" t="str">
        <x:v>Permintaan revisi ke sumber, bukan edit gaji di Finance</x:v>
      </x:c>
      <x:c r="H144" s="8" t="str">
        <x:v>Tanpa izin: sembunyikan. Tahap belum tepat: nonaktif dengan alasan. Periksa ulang izin, versi dan kondisi pada server.</x:v>
      </x:c>
    </x:row>
    <x:row r="145" ht="110" customHeight="1">
      <x:c r="A145" s="8" t="str">
        <x:v>Payroll / Batch payroll</x:v>
      </x:c>
      <x:c r="B145" s="8" t="str">
        <x:v>Siapkan pembayaran
Posisi: Footer tindakan</x:v>
      </x:c>
      <x:c r="C145" s="8" t="str">
        <x:v>Pemilik kewajiban / Treasury</x:v>
      </x:c>
      <x:c r="D145" s="8" t="str">
        <x:v>Disetujui dan masih bersisa</x:v>
      </x:c>
      <x:c r="E145" s="8" t="str">
        <x:v>Sisa sumber benar; tidak sudah dibayar/diproses; bank/unit sah</x:v>
      </x:c>
      <x:c r="F145" s="8" t="str">
        <x:v>F02</x:v>
      </x:c>
      <x:c r="G145" s="8" t="str">
        <x:v>Satu payment beralokasi; terlihat di Kas &amp; Bank dan sumber</x:v>
      </x:c>
      <x:c r="H145" s="8" t="str">
        <x:v>Tanpa izin: sembunyikan. Tahap belum tepat: nonaktif dengan alasan. Periksa ulang izin, versi dan kondisi pada server.</x:v>
      </x:c>
    </x:row>
    <x:row r="146" ht="110" customHeight="1">
      <x:c r="A146" s="8" t="str">
        <x:v>Payroll / Kewajiban &amp; pembayaran</x:v>
      </x:c>
      <x:c r="B146" s="8" t="str">
        <x:v>Buka batch
Posisi: Isi panel</x:v>
      </x:c>
      <x:c r="C146" s="8" t="str">
        <x:v>Pembaca berizin</x:v>
      </x:c>
      <x:c r="D146" s="8" t="str">
        <x:v>Sumber tersedia</x:v>
      </x:c>
      <x:c r="E146" s="8" t="str">
        <x:v>Hak objek tujuan dan unit diperiksa</x:v>
      </x:c>
      <x:c r="F146" s="8" t="str">
        <x:v>HR/Finance payroll sumber</x:v>
      </x:c>
      <x:c r="G146" s="8" t="str">
        <x:v>Membuka dokumen yang sama; tidak mengubah data</x:v>
      </x:c>
      <x:c r="H146" s="8" t="str">
        <x:v>Tanpa izin: sembunyikan. Tahap belum tepat: nonaktif dengan alasan. Periksa ulang izin, versi dan kondisi pada server.</x:v>
      </x:c>
    </x:row>
    <x:row r="147" ht="110" customHeight="1">
      <x:c r="A147" s="8" t="str">
        <x:v>Payroll / Kewajiban &amp; pembayaran</x:v>
      </x:c>
      <x:c r="B147" s="8" t="str">
        <x:v>Siapkan pembayaran
Posisi: Footer tindakan</x:v>
      </x:c>
      <x:c r="C147" s="8" t="str">
        <x:v>Pemilik kewajiban / Treasury</x:v>
      </x:c>
      <x:c r="D147" s="8" t="str">
        <x:v>Disetujui dan masih bersisa</x:v>
      </x:c>
      <x:c r="E147" s="8" t="str">
        <x:v>Sisa sumber benar; tidak sudah dibayar/diproses; bank/unit sah</x:v>
      </x:c>
      <x:c r="F147" s="8" t="str">
        <x:v>F02</x:v>
      </x:c>
      <x:c r="G147" s="8" t="str">
        <x:v>Satu payment beralokasi; terlihat di Kas &amp; Bank dan sumber</x:v>
      </x:c>
      <x:c r="H147" s="8" t="str">
        <x:v>Tanpa izin: sembunyikan. Tahap belum tepat: nonaktif dengan alasan. Periksa ulang izin, versi dan kondisi pada server.</x:v>
      </x:c>
    </x:row>
    <x:row r="148" ht="110" customHeight="1">
      <x:c r="A148" s="8" t="str">
        <x:v>Payroll / Kewajiban &amp; pembayaran</x:v>
      </x:c>
      <x:c r="B148" s="8" t="str">
        <x:v>Buka pembayaran
Posisi: Isi panel</x:v>
      </x:c>
      <x:c r="C148" s="8" t="str">
        <x:v>Pembaca berizin</x:v>
      </x:c>
      <x:c r="D148" s="8" t="str">
        <x:v>Sumber tersedia</x:v>
      </x:c>
      <x:c r="E148" s="8" t="str">
        <x:v>Hak objek tujuan dan unit diperiksa</x:v>
      </x:c>
      <x:c r="F148" s="8" t="str">
        <x:v>PAY sumber</x:v>
      </x:c>
      <x:c r="G148" s="8" t="str">
        <x:v>Membuka dokumen yang sama; tidak mengubah data</x:v>
      </x:c>
      <x:c r="H148" s="8" t="str">
        <x:v>Tanpa izin: sembunyikan. Tahap belum tepat: nonaktif dengan alasan. Periksa ulang izin, versi dan kondisi pada server.</x:v>
      </x:c>
    </x:row>
    <x:row r="149" ht="110" customHeight="1">
      <x:c r="A149" s="8" t="str">
        <x:v>Payroll / Kewajiban &amp; pembayaran</x:v>
      </x:c>
      <x:c r="B149" s="8" t="str">
        <x:v>Tinjau transfer gagal
Posisi: Footer tindakan</x:v>
      </x:c>
      <x:c r="C149" s="8" t="str">
        <x:v>Treasury</x:v>
      </x:c>
      <x:c r="D149" s="8" t="str">
        <x:v>Ada kegagalan</x:v>
      </x:c>
      <x:c r="E149" s="8" t="str">
        <x:v>Periksa hasil bank sebelum kirim ulang; tidak double pay</x:v>
      </x:c>
      <x:c r="F149" s="8" t="str">
        <x:v>F02</x:v>
      </x:c>
      <x:c r="G149" s="8" t="str">
        <x:v>Penanganan payment yang sama</x:v>
      </x:c>
      <x:c r="H149" s="8" t="str">
        <x:v>Tanpa izin: sembunyikan. Tahap belum tepat: nonaktif dengan alasan. Periksa ulang izin, versi dan kondisi pada server.</x:v>
      </x:c>
    </x:row>
    <x:row r="150" ht="110" customHeight="1">
      <x:c r="A150" s="8" t="str">
        <x:v>Payroll / Pinjaman pegawai</x:v>
      </x:c>
      <x:c r="B150" s="8" t="str">
        <x:v>Ubah draf
Posisi: Header sekunder</x:v>
      </x:c>
      <x:c r="C150" s="8" t="str">
        <x:v>Pemilik dokumen</x:v>
      </x:c>
      <x:c r="D150" s="8" t="str">
        <x:v>Draf / dikembalikan</x:v>
      </x:c>
      <x:c r="E150" s="8" t="str">
        <x:v>Versi terbaru dan dalam cakupan</x:v>
      </x:c>
      <x:c r="F150" s="8" t="str">
        <x:v>F24</x:v>
      </x:c>
      <x:c r="G150" s="8" t="str">
        <x:v>Masuk form; sumber final belum berubah</x:v>
      </x:c>
      <x:c r="H150" s="8" t="str">
        <x:v>Tanpa izin: sembunyikan. Tahap belum tepat: nonaktif dengan alasan. Periksa ulang izin, versi dan kondisi pada server.</x:v>
      </x:c>
    </x:row>
    <x:row r="151" ht="110" customHeight="1">
      <x:c r="A151" s="8" t="str">
        <x:v>Payroll / Pinjaman pegawai</x:v>
      </x:c>
      <x:c r="B151" s="8" t="str">
        <x:v>Ajukan
Posisi: Footer tindakan</x:v>
      </x:c>
      <x:c r="C151" s="8" t="str">
        <x:v>Pengaju berizin</x:v>
      </x:c>
      <x:c r="D151" s="8" t="str">
        <x:v>Draf / dikembalikan</x:v>
      </x:c>
      <x:c r="E151" s="8" t="str">
        <x:v>Field/bukti lengkap; rincian valid; belum duplikat</x:v>
      </x:c>
      <x:c r="F151" s="8" t="str">
        <x:v>F24</x:v>
      </x:c>
      <x:c r="G151" s="8" t="str">
        <x:v>Dokumen terkunci untuk review</x:v>
      </x:c>
      <x:c r="H151" s="8" t="str">
        <x:v>Tanpa izin: sembunyikan. Tahap belum tepat: nonaktif dengan alasan. Periksa ulang izin, versi dan kondisi pada server.</x:v>
      </x:c>
    </x:row>
    <x:row r="152" ht="110" customHeight="1">
      <x:c r="A152" s="8" t="str">
        <x:v>Payroll / Pinjaman pegawai</x:v>
      </x:c>
      <x:c r="B152" s="8" t="str">
        <x:v>Setujui
Posisi: Footer tindakan</x:v>
      </x:c>
      <x:c r="C152" s="8" t="str">
        <x:v>Reviewer sesuai mandat</x:v>
      </x:c>
      <x:c r="D152" s="8" t="str">
        <x:v>Menunggu review</x:v>
      </x:c>
      <x:c r="E152" s="8" t="str">
        <x:v>Versi terbaru; mandat/nominal/unit sah; pemisahan orang sesuai kebijakan</x:v>
      </x:c>
      <x:c r="F152" s="8" t="str">
        <x:v>F01</x:v>
      </x:c>
      <x:c r="G152" s="8" t="str">
        <x:v>Keputusan disimpan; tidak berarti sudah dibayar</x:v>
      </x:c>
      <x:c r="H152" s="8" t="str">
        <x:v>Tanpa izin: sembunyikan. Tahap belum tepat: nonaktif dengan alasan. Periksa ulang izin, versi dan kondisi pada server.</x:v>
      </x:c>
    </x:row>
    <x:row r="153" ht="110" customHeight="1">
      <x:c r="A153" s="8" t="str">
        <x:v>Payroll / Pinjaman pegawai</x:v>
      </x:c>
      <x:c r="B153" s="8" t="str">
        <x:v>Kembalikan
Posisi: Menu tindakan</x:v>
      </x:c>
      <x:c r="C153" s="8" t="str">
        <x:v>Reviewer sesuai mandat</x:v>
      </x:c>
      <x:c r="D153" s="8" t="str">
        <x:v>Menunggu review</x:v>
      </x:c>
      <x:c r="E153" s="8" t="str">
        <x:v>Alasan dan bagian yang harus diperbaiki wajib</x:v>
      </x:c>
      <x:c r="F153" s="8" t="str">
        <x:v>F01</x:v>
      </x:c>
      <x:c r="G153" s="8" t="str">
        <x:v>Pemohon dapat merevisi versi pengajuan</x:v>
      </x:c>
      <x:c r="H153" s="8" t="str">
        <x:v>Tanpa izin: sembunyikan. Tahap belum tepat: nonaktif dengan alasan. Periksa ulang izin, versi dan kondisi pada server.</x:v>
      </x:c>
    </x:row>
    <x:row r="154" ht="110" customHeight="1">
      <x:c r="A154" s="8" t="str">
        <x:v>Payroll / Pinjaman pegawai</x:v>
      </x:c>
      <x:c r="B154" s="8" t="str">
        <x:v>Ajukan koreksi / pembalikan
Posisi: Menu tindakan</x:v>
      </x:c>
      <x:c r="C154" s="8" t="str">
        <x:v>Pemilik / Akuntansi</x:v>
      </x:c>
      <x:c r="D154" s="8" t="str">
        <x:v>Sudah tercatat</x:v>
      </x:c>
      <x:c r="E154" s="8" t="str">
        <x:v>Periksa pembayaran, periode dan dokumen turunan; alasan wajib</x:v>
      </x:c>
      <x:c r="F154" s="8" t="str">
        <x:v>F01</x:v>
      </x:c>
      <x:c r="G154" s="8" t="str">
        <x:v>Dokumen koreksi tertaut; jurnal lama tidak dihapus</x:v>
      </x:c>
      <x:c r="H154" s="8" t="str">
        <x:v>Tanpa izin: sembunyikan. Tahap belum tepat: nonaktif dengan alasan. Periksa ulang izin, versi dan kondisi pada server.</x:v>
      </x:c>
    </x:row>
    <x:row r="155" ht="110" customHeight="1">
      <x:c r="A155" s="8" t="str">
        <x:v>Payroll / Pinjaman pegawai</x:v>
      </x:c>
      <x:c r="B155" s="8" t="str">
        <x:v>Siapkan pembayaran
Posisi: Footer tindakan</x:v>
      </x:c>
      <x:c r="C155" s="8" t="str">
        <x:v>Pemilik kewajiban / Treasury</x:v>
      </x:c>
      <x:c r="D155" s="8" t="str">
        <x:v>Disetujui dan masih bersisa</x:v>
      </x:c>
      <x:c r="E155" s="8" t="str">
        <x:v>Sisa sumber benar; tidak sudah dibayar/diproses; bank/unit sah</x:v>
      </x:c>
      <x:c r="F155" s="8" t="str">
        <x:v>F02</x:v>
      </x:c>
      <x:c r="G155" s="8" t="str">
        <x:v>Satu payment beralokasi; terlihat di Kas &amp; Bank dan sumber</x:v>
      </x:c>
      <x:c r="H155" s="8" t="str">
        <x:v>Tanpa izin: sembunyikan. Tahap belum tepat: nonaktif dengan alasan. Periksa ulang izin, versi dan kondisi pada server.</x:v>
      </x:c>
    </x:row>
    <x:row r="156" ht="110" customHeight="1">
      <x:c r="A156" s="8" t="str">
        <x:v>Payroll / Pinjaman pegawai</x:v>
      </x:c>
      <x:c r="B156" s="8" t="str">
        <x:v>Tautkan potongan payroll
Posisi: Footer tindakan</x:v>
      </x:c>
      <x:c r="C156" s="8" t="str">
        <x:v>Finance payroll</x:v>
      </x:c>
      <x:c r="D156" s="8" t="str">
        <x:v>Batch/komponen potongan sah</x:v>
      </x:c>
      <x:c r="E156" s="8" t="str">
        <x:v>Potongan memiliki batch dan jurnal; tidak kurangi register saja</x:v>
      </x:c>
      <x:c r="F156" s="8" t="str">
        <x:v>F24</x:v>
      </x:c>
      <x:c r="G156" s="8" t="str">
        <x:v>Pelunasan tertaut sumber payroll</x:v>
      </x:c>
      <x:c r="H156" s="8" t="str">
        <x:v>Tanpa izin: sembunyikan. Tahap belum tepat: nonaktif dengan alasan. Periksa ulang izin, versi dan kondisi pada server.</x:v>
      </x:c>
    </x:row>
    <x:row r="157" ht="110" customHeight="1">
      <x:c r="A157" s="8" t="str">
        <x:v>Payroll / Pinjaman pegawai</x:v>
      </x:c>
      <x:c r="B157" s="8" t="str">
        <x:v>Alokasikan penerimaan
Posisi: Footer tindakan</x:v>
      </x:c>
      <x:c r="C157" s="8" t="str">
        <x:v>Treasury</x:v>
      </x:c>
      <x:c r="D157" s="8" t="str">
        <x:v>Dana pelunasan diterima</x:v>
      </x:c>
      <x:c r="E157" s="8" t="str">
        <x:v>Receipt dan sisa piutang sesuai</x:v>
      </x:c>
      <x:c r="F157" s="8" t="str">
        <x:v>F03 / F24</x:v>
      </x:c>
      <x:c r="G157" s="8" t="str">
        <x:v>Pelunasan tertaut kas dan jurnal</x:v>
      </x:c>
      <x:c r="H157" s="8" t="str">
        <x:v>Tanpa izin: sembunyikan. Tahap belum tepat: nonaktif dengan alasan. Periksa ulang izin, versi dan kondisi pada server.</x:v>
      </x:c>
    </x:row>
    <x:row r="158" ht="110" customHeight="1">
      <x:c r="A158" s="8" t="str">
        <x:v>Payroll / Rekonsiliasi payroll</x:v>
      </x:c>
      <x:c r="B158" s="8" t="str">
        <x:v>Buka batch
Posisi: Isi panel</x:v>
      </x:c>
      <x:c r="C158" s="8" t="str">
        <x:v>Pembaca berizin</x:v>
      </x:c>
      <x:c r="D158" s="8" t="str">
        <x:v>Sumber tersedia</x:v>
      </x:c>
      <x:c r="E158" s="8" t="str">
        <x:v>Hak objek tujuan dan unit diperiksa</x:v>
      </x:c>
      <x:c r="F158" s="8" t="str">
        <x:v>PAYROLL sumber</x:v>
      </x:c>
      <x:c r="G158" s="8" t="str">
        <x:v>Membuka dokumen yang sama; tidak mengubah data</x:v>
      </x:c>
      <x:c r="H158" s="8" t="str">
        <x:v>Tanpa izin: sembunyikan. Tahap belum tepat: nonaktif dengan alasan. Periksa ulang izin, versi dan kondisi pada server.</x:v>
      </x:c>
    </x:row>
    <x:row r="159" ht="110" customHeight="1">
      <x:c r="A159" s="8" t="str">
        <x:v>Payroll / Rekonsiliasi payroll</x:v>
      </x:c>
      <x:c r="B159" s="8" t="str">
        <x:v>Buka pembayaran
Posisi: Isi panel</x:v>
      </x:c>
      <x:c r="C159" s="8" t="str">
        <x:v>Pembaca berizin</x:v>
      </x:c>
      <x:c r="D159" s="8" t="str">
        <x:v>Sumber tersedia</x:v>
      </x:c>
      <x:c r="E159" s="8" t="str">
        <x:v>Hak objek tujuan dan unit diperiksa</x:v>
      </x:c>
      <x:c r="F159" s="8" t="str">
        <x:v>PAY sumber</x:v>
      </x:c>
      <x:c r="G159" s="8" t="str">
        <x:v>Membuka dokumen yang sama; tidak mengubah data</x:v>
      </x:c>
      <x:c r="H159" s="8" t="str">
        <x:v>Tanpa izin: sembunyikan. Tahap belum tepat: nonaktif dengan alasan. Periksa ulang izin, versi dan kondisi pada server.</x:v>
      </x:c>
    </x:row>
    <x:row r="160" ht="110" customHeight="1">
      <x:c r="A160" s="8" t="str">
        <x:v>Payroll / Rekonsiliasi payroll</x:v>
      </x:c>
      <x:c r="B160" s="8" t="str">
        <x:v>Simpan hasil rekonsiliasi
Posisi: Footer tindakan</x:v>
      </x:c>
      <x:c r="C160" s="8" t="str">
        <x:v>Finance payroll / reviewer</x:v>
      </x:c>
      <x:c r="D160" s="8" t="str">
        <x:v>Bukti tersedia</x:v>
      </x:c>
      <x:c r="E160" s="8" t="str">
        <x:v>Bandingkan versi/unit/periode yang sama</x:v>
      </x:c>
      <x:c r="F160" s="8" t="str">
        <x:v>F19</x:v>
      </x:c>
      <x:c r="G160" s="8" t="str">
        <x:v>Kesimpulan tertelusur</x:v>
      </x:c>
      <x:c r="H160" s="8" t="str">
        <x:v>Tanpa izin: sembunyikan. Tahap belum tepat: nonaktif dengan alasan. Periksa ulang izin, versi dan kondisi pada server.</x:v>
      </x:c>
    </x:row>
    <x:row r="161" ht="110" customHeight="1">
      <x:c r="A161" s="8" t="str">
        <x:v>Pajak / Kewajiban</x:v>
      </x:c>
      <x:c r="B161" s="8" t="str">
        <x:v>Buka dokumen dasar
Posisi: Isi panel</x:v>
      </x:c>
      <x:c r="C161" s="8" t="str">
        <x:v>Pembaca berizin</x:v>
      </x:c>
      <x:c r="D161" s="8" t="str">
        <x:v>Sumber tersedia</x:v>
      </x:c>
      <x:c r="E161" s="8" t="str">
        <x:v>Hak objek tujuan dan unit diperiksa</x:v>
      </x:c>
      <x:c r="F161" s="8" t="str">
        <x:v>TD sumber</x:v>
      </x:c>
      <x:c r="G161" s="8" t="str">
        <x:v>Membuka dokumen yang sama; tidak mengubah data</x:v>
      </x:c>
      <x:c r="H161" s="8" t="str">
        <x:v>Tanpa izin: sembunyikan. Tahap belum tepat: nonaktif dengan alasan. Periksa ulang izin, versi dan kondisi pada server.</x:v>
      </x:c>
    </x:row>
    <x:row r="162" ht="110" customHeight="1">
      <x:c r="A162" s="8" t="str">
        <x:v>Pajak / Kewajiban</x:v>
      </x:c>
      <x:c r="B162" s="8" t="str">
        <x:v>Ubah draf
Posisi: Header sekunder</x:v>
      </x:c>
      <x:c r="C162" s="8" t="str">
        <x:v>Pemilik dokumen</x:v>
      </x:c>
      <x:c r="D162" s="8" t="str">
        <x:v>Draf / dikembalikan</x:v>
      </x:c>
      <x:c r="E162" s="8" t="str">
        <x:v>Versi terbaru dan dalam cakupan</x:v>
      </x:c>
      <x:c r="F162" s="8" t="str">
        <x:v>F25</x:v>
      </x:c>
      <x:c r="G162" s="8" t="str">
        <x:v>Masuk form; sumber final belum berubah</x:v>
      </x:c>
      <x:c r="H162" s="8" t="str">
        <x:v>Tanpa izin: sembunyikan. Tahap belum tepat: nonaktif dengan alasan. Periksa ulang izin, versi dan kondisi pada server.</x:v>
      </x:c>
    </x:row>
    <x:row r="163" ht="110" customHeight="1">
      <x:c r="A163" s="8" t="str">
        <x:v>Pajak / Kewajiban</x:v>
      </x:c>
      <x:c r="B163" s="8" t="str">
        <x:v>Ajukan
Posisi: Footer tindakan</x:v>
      </x:c>
      <x:c r="C163" s="8" t="str">
        <x:v>Pengaju berizin</x:v>
      </x:c>
      <x:c r="D163" s="8" t="str">
        <x:v>Draf / dikembalikan</x:v>
      </x:c>
      <x:c r="E163" s="8" t="str">
        <x:v>Field/bukti lengkap; rincian valid; belum duplikat</x:v>
      </x:c>
      <x:c r="F163" s="8" t="str">
        <x:v>F25</x:v>
      </x:c>
      <x:c r="G163" s="8" t="str">
        <x:v>Dokumen terkunci untuk review</x:v>
      </x:c>
      <x:c r="H163" s="8" t="str">
        <x:v>Tanpa izin: sembunyikan. Tahap belum tepat: nonaktif dengan alasan. Periksa ulang izin, versi dan kondisi pada server.</x:v>
      </x:c>
    </x:row>
    <x:row r="164" ht="110" customHeight="1">
      <x:c r="A164" s="8" t="str">
        <x:v>Pajak / Kewajiban</x:v>
      </x:c>
      <x:c r="B164" s="8" t="str">
        <x:v>Setujui
Posisi: Footer tindakan</x:v>
      </x:c>
      <x:c r="C164" s="8" t="str">
        <x:v>Reviewer sesuai mandat</x:v>
      </x:c>
      <x:c r="D164" s="8" t="str">
        <x:v>Menunggu review</x:v>
      </x:c>
      <x:c r="E164" s="8" t="str">
        <x:v>Versi terbaru; mandat/nominal/unit sah; pemisahan orang sesuai kebijakan</x:v>
      </x:c>
      <x:c r="F164" s="8" t="str">
        <x:v>F01</x:v>
      </x:c>
      <x:c r="G164" s="8" t="str">
        <x:v>Keputusan disimpan; tidak berarti sudah dibayar</x:v>
      </x:c>
      <x:c r="H164" s="8" t="str">
        <x:v>Tanpa izin: sembunyikan. Tahap belum tepat: nonaktif dengan alasan. Periksa ulang izin, versi dan kondisi pada server.</x:v>
      </x:c>
    </x:row>
    <x:row r="165" ht="110" customHeight="1">
      <x:c r="A165" s="8" t="str">
        <x:v>Pajak / Kewajiban</x:v>
      </x:c>
      <x:c r="B165" s="8" t="str">
        <x:v>Siapkan pembayaran
Posisi: Footer tindakan</x:v>
      </x:c>
      <x:c r="C165" s="8" t="str">
        <x:v>Pemilik kewajiban / Treasury</x:v>
      </x:c>
      <x:c r="D165" s="8" t="str">
        <x:v>Disetujui dan masih bersisa</x:v>
      </x:c>
      <x:c r="E165" s="8" t="str">
        <x:v>Sisa sumber benar; tidak sudah dibayar/diproses; bank/unit sah</x:v>
      </x:c>
      <x:c r="F165" s="8" t="str">
        <x:v>F02</x:v>
      </x:c>
      <x:c r="G165" s="8" t="str">
        <x:v>Satu payment beralokasi; terlihat di Kas &amp; Bank dan sumber</x:v>
      </x:c>
      <x:c r="H165" s="8" t="str">
        <x:v>Tanpa izin: sembunyikan. Tahap belum tepat: nonaktif dengan alasan. Periksa ulang izin, versi dan kondisi pada server.</x:v>
      </x:c>
    </x:row>
    <x:row r="166" ht="110" customHeight="1">
      <x:c r="A166" s="8" t="str">
        <x:v>Pajak / Kewajiban</x:v>
      </x:c>
      <x:c r="B166" s="8" t="str">
        <x:v>Buka pelaporan
Posisi: Isi panel</x:v>
      </x:c>
      <x:c r="C166" s="8" t="str">
        <x:v>Pembaca berizin</x:v>
      </x:c>
      <x:c r="D166" s="8" t="str">
        <x:v>Sumber tersedia</x:v>
      </x:c>
      <x:c r="E166" s="8" t="str">
        <x:v>Hak objek tujuan dan unit diperiksa</x:v>
      </x:c>
      <x:c r="F166" s="8" t="str">
        <x:v>TF sumber</x:v>
      </x:c>
      <x:c r="G166" s="8" t="str">
        <x:v>Membuka dokumen yang sama; tidak mengubah data</x:v>
      </x:c>
      <x:c r="H166" s="8" t="str">
        <x:v>Tanpa izin: sembunyikan. Tahap belum tepat: nonaktif dengan alasan. Periksa ulang izin, versi dan kondisi pada server.</x:v>
      </x:c>
    </x:row>
    <x:row r="167" ht="110" customHeight="1">
      <x:c r="A167" s="8" t="str">
        <x:v>Pajak / Dokumen pajak</x:v>
      </x:c>
      <x:c r="B167" s="8" t="str">
        <x:v>Ubah draf
Posisi: Header sekunder</x:v>
      </x:c>
      <x:c r="C167" s="8" t="str">
        <x:v>Pemilik dokumen</x:v>
      </x:c>
      <x:c r="D167" s="8" t="str">
        <x:v>Draf / dikembalikan</x:v>
      </x:c>
      <x:c r="E167" s="8" t="str">
        <x:v>Versi terbaru dan dalam cakupan</x:v>
      </x:c>
      <x:c r="F167" s="8" t="str">
        <x:v>F25</x:v>
      </x:c>
      <x:c r="G167" s="8" t="str">
        <x:v>Masuk form; sumber final belum berubah</x:v>
      </x:c>
      <x:c r="H167" s="8" t="str">
        <x:v>Tanpa izin: sembunyikan. Tahap belum tepat: nonaktif dengan alasan. Periksa ulang izin, versi dan kondisi pada server.</x:v>
      </x:c>
    </x:row>
    <x:row r="168" ht="110" customHeight="1">
      <x:c r="A168" s="8" t="str">
        <x:v>Pajak / Dokumen pajak</x:v>
      </x:c>
      <x:c r="B168" s="8" t="str">
        <x:v>Ajukan
Posisi: Footer tindakan</x:v>
      </x:c>
      <x:c r="C168" s="8" t="str">
        <x:v>Pengaju berizin</x:v>
      </x:c>
      <x:c r="D168" s="8" t="str">
        <x:v>Draf / dikembalikan</x:v>
      </x:c>
      <x:c r="E168" s="8" t="str">
        <x:v>Field/bukti lengkap; rincian valid; belum duplikat</x:v>
      </x:c>
      <x:c r="F168" s="8" t="str">
        <x:v>F25</x:v>
      </x:c>
      <x:c r="G168" s="8" t="str">
        <x:v>Dokumen terkunci untuk review</x:v>
      </x:c>
      <x:c r="H168" s="8" t="str">
        <x:v>Tanpa izin: sembunyikan. Tahap belum tepat: nonaktif dengan alasan. Periksa ulang izin, versi dan kondisi pada server.</x:v>
      </x:c>
    </x:row>
    <x:row r="169" ht="110" customHeight="1">
      <x:c r="A169" s="8" t="str">
        <x:v>Pajak / Dokumen pajak</x:v>
      </x:c>
      <x:c r="B169" s="8" t="str">
        <x:v>Setujui
Posisi: Footer tindakan</x:v>
      </x:c>
      <x:c r="C169" s="8" t="str">
        <x:v>Reviewer sesuai mandat</x:v>
      </x:c>
      <x:c r="D169" s="8" t="str">
        <x:v>Menunggu review</x:v>
      </x:c>
      <x:c r="E169" s="8" t="str">
        <x:v>Versi terbaru; mandat/nominal/unit sah; pemisahan orang sesuai kebijakan</x:v>
      </x:c>
      <x:c r="F169" s="8" t="str">
        <x:v>F01</x:v>
      </x:c>
      <x:c r="G169" s="8" t="str">
        <x:v>Keputusan disimpan; tidak berarti sudah dibayar</x:v>
      </x:c>
      <x:c r="H169" s="8" t="str">
        <x:v>Tanpa izin: sembunyikan. Tahap belum tepat: nonaktif dengan alasan. Periksa ulang izin, versi dan kondisi pada server.</x:v>
      </x:c>
    </x:row>
    <x:row r="170" ht="110" customHeight="1">
      <x:c r="A170" s="8" t="str">
        <x:v>Pajak / Dokumen pajak</x:v>
      </x:c>
      <x:c r="B170" s="8" t="str">
        <x:v>Kembalikan
Posisi: Menu tindakan</x:v>
      </x:c>
      <x:c r="C170" s="8" t="str">
        <x:v>Reviewer sesuai mandat</x:v>
      </x:c>
      <x:c r="D170" s="8" t="str">
        <x:v>Menunggu review</x:v>
      </x:c>
      <x:c r="E170" s="8" t="str">
        <x:v>Alasan dan bagian yang harus diperbaiki wajib</x:v>
      </x:c>
      <x:c r="F170" s="8" t="str">
        <x:v>F01</x:v>
      </x:c>
      <x:c r="G170" s="8" t="str">
        <x:v>Pemohon dapat merevisi versi pengajuan</x:v>
      </x:c>
      <x:c r="H170" s="8" t="str">
        <x:v>Tanpa izin: sembunyikan. Tahap belum tepat: nonaktif dengan alasan. Periksa ulang izin, versi dan kondisi pada server.</x:v>
      </x:c>
    </x:row>
    <x:row r="171" ht="110" customHeight="1">
      <x:c r="A171" s="8" t="str">
        <x:v>Pajak / Dokumen pajak</x:v>
      </x:c>
      <x:c r="B171" s="8" t="str">
        <x:v>Ajukan koreksi / pembalikan
Posisi: Menu tindakan</x:v>
      </x:c>
      <x:c r="C171" s="8" t="str">
        <x:v>Pemilik / Akuntansi</x:v>
      </x:c>
      <x:c r="D171" s="8" t="str">
        <x:v>Sudah tercatat</x:v>
      </x:c>
      <x:c r="E171" s="8" t="str">
        <x:v>Periksa pembayaran, periode dan dokumen turunan; alasan wajib</x:v>
      </x:c>
      <x:c r="F171" s="8" t="str">
        <x:v>F01</x:v>
      </x:c>
      <x:c r="G171" s="8" t="str">
        <x:v>Dokumen koreksi tertaut; jurnal lama tidak dihapus</x:v>
      </x:c>
      <x:c r="H171" s="8" t="str">
        <x:v>Tanpa izin: sembunyikan. Tahap belum tepat: nonaktif dengan alasan. Periksa ulang izin, versi dan kondisi pada server.</x:v>
      </x:c>
    </x:row>
    <x:row r="172" ht="110" customHeight="1">
      <x:c r="A172" s="8" t="str">
        <x:v>Pajak / Dokumen pajak</x:v>
      </x:c>
      <x:c r="B172" s="8" t="str">
        <x:v>Cocokkan dokumen
Posisi: Footer tindakan</x:v>
      </x:c>
      <x:c r="C172" s="8" t="str">
        <x:v>Tim pajak</x:v>
      </x:c>
      <x:c r="D172" s="8" t="str">
        <x:v>Perlu cocokkan</x:v>
      </x:c>
      <x:c r="E172" s="8" t="str">
        <x:v>Sumber dan nomor/masa/nilai sesuai</x:v>
      </x:c>
      <x:c r="F172" s="8" t="str">
        <x:v>F25</x:v>
      </x:c>
      <x:c r="G172" s="8" t="str">
        <x:v>Hasil cocok atau kasus selisih</x:v>
      </x:c>
      <x:c r="H172" s="8" t="str">
        <x:v>Tanpa izin: sembunyikan. Tahap belum tepat: nonaktif dengan alasan. Periksa ulang izin, versi dan kondisi pada server.</x:v>
      </x:c>
    </x:row>
    <x:row r="173" ht="110" customHeight="1">
      <x:c r="A173" s="8" t="str">
        <x:v>Pajak / Pembayaran</x:v>
      </x:c>
      <x:c r="B173" s="8" t="str">
        <x:v>Siapkan pembayaran
Posisi: Footer tindakan</x:v>
      </x:c>
      <x:c r="C173" s="8" t="str">
        <x:v>Pemilik kewajiban / Treasury</x:v>
      </x:c>
      <x:c r="D173" s="8" t="str">
        <x:v>Disetujui dan masih bersisa</x:v>
      </x:c>
      <x:c r="E173" s="8" t="str">
        <x:v>Sisa sumber benar; tidak sudah dibayar/diproses; bank/unit sah</x:v>
      </x:c>
      <x:c r="F173" s="8" t="str">
        <x:v>F02</x:v>
      </x:c>
      <x:c r="G173" s="8" t="str">
        <x:v>Satu payment beralokasi; terlihat di Kas &amp; Bank dan sumber</x:v>
      </x:c>
      <x:c r="H173" s="8" t="str">
        <x:v>Tanpa izin: sembunyikan. Tahap belum tepat: nonaktif dengan alasan. Periksa ulang izin, versi dan kondisi pada server.</x:v>
      </x:c>
    </x:row>
    <x:row r="174" ht="110" customHeight="1">
      <x:c r="A174" s="8" t="str">
        <x:v>Pajak / Pembayaran</x:v>
      </x:c>
      <x:c r="B174" s="8" t="str">
        <x:v>Buka payment
Posisi: Isi panel</x:v>
      </x:c>
      <x:c r="C174" s="8" t="str">
        <x:v>Pembaca berizin</x:v>
      </x:c>
      <x:c r="D174" s="8" t="str">
        <x:v>Sumber tersedia</x:v>
      </x:c>
      <x:c r="E174" s="8" t="str">
        <x:v>Hak objek tujuan dan unit diperiksa</x:v>
      </x:c>
      <x:c r="F174" s="8" t="str">
        <x:v>PAY Kas &amp; Bank</x:v>
      </x:c>
      <x:c r="G174" s="8" t="str">
        <x:v>Membuka dokumen yang sama; tidak mengubah data</x:v>
      </x:c>
      <x:c r="H174" s="8" t="str">
        <x:v>Tanpa izin: sembunyikan. Tahap belum tepat: nonaktif dengan alasan. Periksa ulang izin, versi dan kondisi pada server.</x:v>
      </x:c>
    </x:row>
    <x:row r="175" ht="110" customHeight="1">
      <x:c r="A175" s="8" t="str">
        <x:v>Pajak / Pembayaran</x:v>
      </x:c>
      <x:c r="B175" s="8" t="str">
        <x:v>Tautkan bukti bayar
Posisi: Footer tindakan</x:v>
      </x:c>
      <x:c r="C175" s="8" t="str">
        <x:v>Tim pajak/Treasury</x:v>
      </x:c>
      <x:c r="D175" s="8" t="str">
        <x:v>Pembayaran aktual tersedia</x:v>
      </x:c>
      <x:c r="E175" s="8" t="str">
        <x:v>Bukti cocok payment/masa; tidak mengubah status lapor</x:v>
      </x:c>
      <x:c r="F175" s="8" t="str">
        <x:v>F02 / F25</x:v>
      </x:c>
      <x:c r="G175" s="8" t="str">
        <x:v>Bukti dan alokasi tercatat</x:v>
      </x:c>
      <x:c r="H175" s="8" t="str">
        <x:v>Tanpa izin: sembunyikan. Tahap belum tepat: nonaktif dengan alasan. Periksa ulang izin, versi dan kondisi pada server.</x:v>
      </x:c>
    </x:row>
    <x:row r="176" ht="110" customHeight="1">
      <x:c r="A176" s="8" t="str">
        <x:v>Pajak / Pelaporan</x:v>
      </x:c>
      <x:c r="B176" s="8" t="str">
        <x:v>Ubah draf
Posisi: Header sekunder</x:v>
      </x:c>
      <x:c r="C176" s="8" t="str">
        <x:v>Pemilik dokumen</x:v>
      </x:c>
      <x:c r="D176" s="8" t="str">
        <x:v>Draf / dikembalikan</x:v>
      </x:c>
      <x:c r="E176" s="8" t="str">
        <x:v>Versi terbaru dan dalam cakupan</x:v>
      </x:c>
      <x:c r="F176" s="8" t="str">
        <x:v>F26</x:v>
      </x:c>
      <x:c r="G176" s="8" t="str">
        <x:v>Masuk form; sumber final belum berubah</x:v>
      </x:c>
      <x:c r="H176" s="8" t="str">
        <x:v>Tanpa izin: sembunyikan. Tahap belum tepat: nonaktif dengan alasan. Periksa ulang izin, versi dan kondisi pada server.</x:v>
      </x:c>
    </x:row>
    <x:row r="177" ht="110" customHeight="1">
      <x:c r="A177" s="8" t="str">
        <x:v>Pajak / Pelaporan</x:v>
      </x:c>
      <x:c r="B177" s="8" t="str">
        <x:v>Ajukan
Posisi: Footer tindakan</x:v>
      </x:c>
      <x:c r="C177" s="8" t="str">
        <x:v>Pengaju berizin</x:v>
      </x:c>
      <x:c r="D177" s="8" t="str">
        <x:v>Draf / dikembalikan</x:v>
      </x:c>
      <x:c r="E177" s="8" t="str">
        <x:v>Field/bukti lengkap; rincian valid; belum duplikat</x:v>
      </x:c>
      <x:c r="F177" s="8" t="str">
        <x:v>F26</x:v>
      </x:c>
      <x:c r="G177" s="8" t="str">
        <x:v>Dokumen terkunci untuk review</x:v>
      </x:c>
      <x:c r="H177" s="8" t="str">
        <x:v>Tanpa izin: sembunyikan. Tahap belum tepat: nonaktif dengan alasan. Periksa ulang izin, versi dan kondisi pada server.</x:v>
      </x:c>
    </x:row>
    <x:row r="178" ht="110" customHeight="1">
      <x:c r="A178" s="8" t="str">
        <x:v>Pajak / Pelaporan</x:v>
      </x:c>
      <x:c r="B178" s="8" t="str">
        <x:v>Setujui
Posisi: Footer tindakan</x:v>
      </x:c>
      <x:c r="C178" s="8" t="str">
        <x:v>Reviewer sesuai mandat</x:v>
      </x:c>
      <x:c r="D178" s="8" t="str">
        <x:v>Menunggu review</x:v>
      </x:c>
      <x:c r="E178" s="8" t="str">
        <x:v>Versi terbaru; mandat/nominal/unit sah; pemisahan orang sesuai kebijakan</x:v>
      </x:c>
      <x:c r="F178" s="8" t="str">
        <x:v>F01</x:v>
      </x:c>
      <x:c r="G178" s="8" t="str">
        <x:v>Keputusan disimpan; tidak berarti sudah dibayar</x:v>
      </x:c>
      <x:c r="H178" s="8" t="str">
        <x:v>Tanpa izin: sembunyikan. Tahap belum tepat: nonaktif dengan alasan. Periksa ulang izin, versi dan kondisi pada server.</x:v>
      </x:c>
    </x:row>
    <x:row r="179" ht="110" customHeight="1">
      <x:c r="A179" s="8" t="str">
        <x:v>Pajak / Pelaporan</x:v>
      </x:c>
      <x:c r="B179" s="8" t="str">
        <x:v>Catat pelaporan
Posisi: Footer tindakan</x:v>
      </x:c>
      <x:c r="C179" s="8" t="str">
        <x:v>Tim pajak</x:v>
      </x:c>
      <x:c r="D179" s="8" t="str">
        <x:v>Sudah dilaporkan aktual</x:v>
      </x:c>
      <x:c r="E179" s="8" t="str">
        <x:v>Tanggal dan tanda terima sesuai; status bayar tetap terpisah</x:v>
      </x:c>
      <x:c r="F179" s="8" t="str">
        <x:v>F26</x:v>
      </x:c>
      <x:c r="G179" s="8" t="str">
        <x:v>Status dilaporkan dengan bukti</x:v>
      </x:c>
      <x:c r="H179" s="8" t="str">
        <x:v>Tanpa izin: sembunyikan. Tahap belum tepat: nonaktif dengan alasan. Periksa ulang izin, versi dan kondisi pada server.</x:v>
      </x:c>
    </x:row>
    <x:row r="180" ht="110" customHeight="1">
      <x:c r="A180" s="8" t="str">
        <x:v>Pajak / Pelaporan</x:v>
      </x:c>
      <x:c r="B180" s="8" t="str">
        <x:v>Buat pembetulan
Posisi: Footer tindakan</x:v>
      </x:c>
      <x:c r="C180" s="8" t="str">
        <x:v>Tim pajak</x:v>
      </x:c>
      <x:c r="D180" s="8" t="str">
        <x:v>Laporan sudah ada</x:v>
      </x:c>
      <x:c r="E180" s="8" t="str">
        <x:v>Referensi versi sebelumnya dan alasan</x:v>
      </x:c>
      <x:c r="F180" s="8" t="str">
        <x:v>F26</x:v>
      </x:c>
      <x:c r="G180" s="8" t="str">
        <x:v>Versi pembetulan, tidak menimpa histori</x:v>
      </x:c>
      <x:c r="H180" s="8" t="str">
        <x:v>Tanpa izin: sembunyikan. Tahap belum tepat: nonaktif dengan alasan. Periksa ulang izin, versi dan kondisi pada server.</x:v>
      </x:c>
    </x:row>
    <x:row r="181" ht="110" customHeight="1">
      <x:c r="A181" s="8" t="str">
        <x:v>Pendanaan &amp; Modal / Pinjaman</x:v>
      </x:c>
      <x:c r="B181" s="8" t="str">
        <x:v>Ubah draf
Posisi: Header sekunder</x:v>
      </x:c>
      <x:c r="C181" s="8" t="str">
        <x:v>Pemilik dokumen</x:v>
      </x:c>
      <x:c r="D181" s="8" t="str">
        <x:v>Draf / dikembalikan</x:v>
      </x:c>
      <x:c r="E181" s="8" t="str">
        <x:v>Versi terbaru dan dalam cakupan</x:v>
      </x:c>
      <x:c r="F181" s="8" t="str">
        <x:v>F27</x:v>
      </x:c>
      <x:c r="G181" s="8" t="str">
        <x:v>Masuk form; sumber final belum berubah</x:v>
      </x:c>
      <x:c r="H181" s="8" t="str">
        <x:v>Tanpa izin: sembunyikan. Tahap belum tepat: nonaktif dengan alasan. Periksa ulang izin, versi dan kondisi pada server.</x:v>
      </x:c>
    </x:row>
    <x:row r="182" ht="110" customHeight="1">
      <x:c r="A182" s="8" t="str">
        <x:v>Pendanaan &amp; Modal / Pinjaman</x:v>
      </x:c>
      <x:c r="B182" s="8" t="str">
        <x:v>Ajukan
Posisi: Footer tindakan</x:v>
      </x:c>
      <x:c r="C182" s="8" t="str">
        <x:v>Pengaju berizin</x:v>
      </x:c>
      <x:c r="D182" s="8" t="str">
        <x:v>Draf / dikembalikan</x:v>
      </x:c>
      <x:c r="E182" s="8" t="str">
        <x:v>Field/bukti lengkap; rincian valid; belum duplikat</x:v>
      </x:c>
      <x:c r="F182" s="8" t="str">
        <x:v>F27</x:v>
      </x:c>
      <x:c r="G182" s="8" t="str">
        <x:v>Dokumen terkunci untuk review</x:v>
      </x:c>
      <x:c r="H182" s="8" t="str">
        <x:v>Tanpa izin: sembunyikan. Tahap belum tepat: nonaktif dengan alasan. Periksa ulang izin, versi dan kondisi pada server.</x:v>
      </x:c>
    </x:row>
    <x:row r="183" ht="110" customHeight="1">
      <x:c r="A183" s="8" t="str">
        <x:v>Pendanaan &amp; Modal / Pinjaman</x:v>
      </x:c>
      <x:c r="B183" s="8" t="str">
        <x:v>Setujui
Posisi: Footer tindakan</x:v>
      </x:c>
      <x:c r="C183" s="8" t="str">
        <x:v>Reviewer sesuai mandat</x:v>
      </x:c>
      <x:c r="D183" s="8" t="str">
        <x:v>Menunggu review</x:v>
      </x:c>
      <x:c r="E183" s="8" t="str">
        <x:v>Versi terbaru; mandat/nominal/unit sah; pemisahan orang sesuai kebijakan</x:v>
      </x:c>
      <x:c r="F183" s="8" t="str">
        <x:v>F01</x:v>
      </x:c>
      <x:c r="G183" s="8" t="str">
        <x:v>Keputusan disimpan; tidak berarti sudah dibayar</x:v>
      </x:c>
      <x:c r="H183" s="8" t="str">
        <x:v>Tanpa izin: sembunyikan. Tahap belum tepat: nonaktif dengan alasan. Periksa ulang izin, versi dan kondisi pada server.</x:v>
      </x:c>
    </x:row>
    <x:row r="184" ht="110" customHeight="1">
      <x:c r="A184" s="8" t="str">
        <x:v>Pendanaan &amp; Modal / Pinjaman</x:v>
      </x:c>
      <x:c r="B184" s="8" t="str">
        <x:v>Kembalikan
Posisi: Menu tindakan</x:v>
      </x:c>
      <x:c r="C184" s="8" t="str">
        <x:v>Reviewer sesuai mandat</x:v>
      </x:c>
      <x:c r="D184" s="8" t="str">
        <x:v>Menunggu review</x:v>
      </x:c>
      <x:c r="E184" s="8" t="str">
        <x:v>Alasan dan bagian yang harus diperbaiki wajib</x:v>
      </x:c>
      <x:c r="F184" s="8" t="str">
        <x:v>F01</x:v>
      </x:c>
      <x:c r="G184" s="8" t="str">
        <x:v>Pemohon dapat merevisi versi pengajuan</x:v>
      </x:c>
      <x:c r="H184" s="8" t="str">
        <x:v>Tanpa izin: sembunyikan. Tahap belum tepat: nonaktif dengan alasan. Periksa ulang izin, versi dan kondisi pada server.</x:v>
      </x:c>
    </x:row>
    <x:row r="185" ht="110" customHeight="1">
      <x:c r="A185" s="8" t="str">
        <x:v>Pendanaan &amp; Modal / Pinjaman</x:v>
      </x:c>
      <x:c r="B185" s="8" t="str">
        <x:v>Ajukan koreksi / pembalikan
Posisi: Menu tindakan</x:v>
      </x:c>
      <x:c r="C185" s="8" t="str">
        <x:v>Pemilik / Akuntansi</x:v>
      </x:c>
      <x:c r="D185" s="8" t="str">
        <x:v>Sudah tercatat</x:v>
      </x:c>
      <x:c r="E185" s="8" t="str">
        <x:v>Periksa pembayaran, periode dan dokumen turunan; alasan wajib</x:v>
      </x:c>
      <x:c r="F185" s="8" t="str">
        <x:v>F01</x:v>
      </x:c>
      <x:c r="G185" s="8" t="str">
        <x:v>Dokumen koreksi tertaut; jurnal lama tidak dihapus</x:v>
      </x:c>
      <x:c r="H185" s="8" t="str">
        <x:v>Tanpa izin: sembunyikan. Tahap belum tepat: nonaktif dengan alasan. Periksa ulang izin, versi dan kondisi pada server.</x:v>
      </x:c>
    </x:row>
    <x:row r="186" ht="110" customHeight="1">
      <x:c r="A186" s="8" t="str">
        <x:v>Pendanaan &amp; Modal / Pinjaman</x:v>
      </x:c>
      <x:c r="B186" s="8" t="str">
        <x:v>Buka pencairan
Posisi: Isi panel</x:v>
      </x:c>
      <x:c r="C186" s="8" t="str">
        <x:v>Pembaca berizin</x:v>
      </x:c>
      <x:c r="D186" s="8" t="str">
        <x:v>Sumber tersedia</x:v>
      </x:c>
      <x:c r="E186" s="8" t="str">
        <x:v>Hak objek tujuan dan unit diperiksa</x:v>
      </x:c>
      <x:c r="F186" s="8" t="str">
        <x:v>RCPT sumber</x:v>
      </x:c>
      <x:c r="G186" s="8" t="str">
        <x:v>Membuka dokumen yang sama; tidak mengubah data</x:v>
      </x:c>
      <x:c r="H186" s="8" t="str">
        <x:v>Tanpa izin: sembunyikan. Tahap belum tepat: nonaktif dengan alasan. Periksa ulang izin, versi dan kondisi pada server.</x:v>
      </x:c>
    </x:row>
    <x:row r="187" ht="110" customHeight="1">
      <x:c r="A187" s="8" t="str">
        <x:v>Pendanaan &amp; Modal / Pinjaman</x:v>
      </x:c>
      <x:c r="B187" s="8" t="str">
        <x:v>Buka jadwal
Posisi: Isi panel</x:v>
      </x:c>
      <x:c r="C187" s="8" t="str">
        <x:v>Pembaca berizin</x:v>
      </x:c>
      <x:c r="D187" s="8" t="str">
        <x:v>Sumber tersedia</x:v>
      </x:c>
      <x:c r="E187" s="8" t="str">
        <x:v>Hak objek tujuan dan unit diperiksa</x:v>
      </x:c>
      <x:c r="F187" s="8" t="str">
        <x:v>Angsuran</x:v>
      </x:c>
      <x:c r="G187" s="8" t="str">
        <x:v>Membuka dokumen yang sama; tidak mengubah data</x:v>
      </x:c>
      <x:c r="H187" s="8" t="str">
        <x:v>Tanpa izin: sembunyikan. Tahap belum tepat: nonaktif dengan alasan. Periksa ulang izin, versi dan kondisi pada server.</x:v>
      </x:c>
    </x:row>
    <x:row r="188" ht="110" customHeight="1">
      <x:c r="A188" s="8" t="str">
        <x:v>Pendanaan &amp; Modal / Angsuran &amp; biaya</x:v>
      </x:c>
      <x:c r="B188" s="8" t="str">
        <x:v>Buka kontrak
Posisi: Isi panel</x:v>
      </x:c>
      <x:c r="C188" s="8" t="str">
        <x:v>Pembaca berizin</x:v>
      </x:c>
      <x:c r="D188" s="8" t="str">
        <x:v>Sumber tersedia</x:v>
      </x:c>
      <x:c r="E188" s="8" t="str">
        <x:v>Hak objek tujuan dan unit diperiksa</x:v>
      </x:c>
      <x:c r="F188" s="8" t="str">
        <x:v>LOAN sumber</x:v>
      </x:c>
      <x:c r="G188" s="8" t="str">
        <x:v>Membuka dokumen yang sama; tidak mengubah data</x:v>
      </x:c>
      <x:c r="H188" s="8" t="str">
        <x:v>Tanpa izin: sembunyikan. Tahap belum tepat: nonaktif dengan alasan. Periksa ulang izin, versi dan kondisi pada server.</x:v>
      </x:c>
    </x:row>
    <x:row r="189" ht="110" customHeight="1">
      <x:c r="A189" s="8" t="str">
        <x:v>Pendanaan &amp; Modal / Angsuran &amp; biaya</x:v>
      </x:c>
      <x:c r="B189" s="8" t="str">
        <x:v>Siapkan pembayaran
Posisi: Footer tindakan</x:v>
      </x:c>
      <x:c r="C189" s="8" t="str">
        <x:v>Pemilik kewajiban / Treasury</x:v>
      </x:c>
      <x:c r="D189" s="8" t="str">
        <x:v>Disetujui dan masih bersisa</x:v>
      </x:c>
      <x:c r="E189" s="8" t="str">
        <x:v>Sisa sumber benar; tidak sudah dibayar/diproses; bank/unit sah</x:v>
      </x:c>
      <x:c r="F189" s="8" t="str">
        <x:v>F02</x:v>
      </x:c>
      <x:c r="G189" s="8" t="str">
        <x:v>Satu payment beralokasi; terlihat di Kas &amp; Bank dan sumber</x:v>
      </x:c>
      <x:c r="H189" s="8" t="str">
        <x:v>Tanpa izin: sembunyikan. Tahap belum tepat: nonaktif dengan alasan. Periksa ulang izin, versi dan kondisi pada server.</x:v>
      </x:c>
    </x:row>
    <x:row r="190" ht="110" customHeight="1">
      <x:c r="A190" s="8" t="str">
        <x:v>Pendanaan &amp; Modal / Angsuran &amp; biaya</x:v>
      </x:c>
      <x:c r="B190" s="8" t="str">
        <x:v>Alokasikan angsuran
Posisi: Footer tindakan</x:v>
      </x:c>
      <x:c r="C190" s="8" t="str">
        <x:v>Treasury</x:v>
      </x:c>
      <x:c r="D190" s="8" t="str">
        <x:v>Pembayaran aktual tersedia</x:v>
      </x:c>
      <x:c r="E190" s="8" t="str">
        <x:v>Pisahkan pokok/bunga/biaya; bank dan sisa benar</x:v>
      </x:c>
      <x:c r="F190" s="8" t="str">
        <x:v>F27</x:v>
      </x:c>
      <x:c r="G190" s="8" t="str">
        <x:v>Saldo kontrak dan pencatatan sesuai</x:v>
      </x:c>
      <x:c r="H190" s="8" t="str">
        <x:v>Tanpa izin: sembunyikan. Tahap belum tepat: nonaktif dengan alasan. Periksa ulang izin, versi dan kondisi pada server.</x:v>
      </x:c>
    </x:row>
    <x:row r="191" ht="110" customHeight="1">
      <x:c r="A191" s="8" t="str">
        <x:v>Pendanaan &amp; Modal / Modal &amp; distribusi</x:v>
      </x:c>
      <x:c r="B191" s="8" t="str">
        <x:v>Ubah draf
Posisi: Header sekunder</x:v>
      </x:c>
      <x:c r="C191" s="8" t="str">
        <x:v>Pemilik dokumen</x:v>
      </x:c>
      <x:c r="D191" s="8" t="str">
        <x:v>Draf / dikembalikan</x:v>
      </x:c>
      <x:c r="E191" s="8" t="str">
        <x:v>Versi terbaru dan dalam cakupan</x:v>
      </x:c>
      <x:c r="F191" s="8" t="str">
        <x:v>F28</x:v>
      </x:c>
      <x:c r="G191" s="8" t="str">
        <x:v>Masuk form; sumber final belum berubah</x:v>
      </x:c>
      <x:c r="H191" s="8" t="str">
        <x:v>Tanpa izin: sembunyikan. Tahap belum tepat: nonaktif dengan alasan. Periksa ulang izin, versi dan kondisi pada server.</x:v>
      </x:c>
    </x:row>
    <x:row r="192" ht="110" customHeight="1">
      <x:c r="A192" s="8" t="str">
        <x:v>Pendanaan &amp; Modal / Modal &amp; distribusi</x:v>
      </x:c>
      <x:c r="B192" s="8" t="str">
        <x:v>Ajukan
Posisi: Footer tindakan</x:v>
      </x:c>
      <x:c r="C192" s="8" t="str">
        <x:v>Pengaju berizin</x:v>
      </x:c>
      <x:c r="D192" s="8" t="str">
        <x:v>Draf / dikembalikan</x:v>
      </x:c>
      <x:c r="E192" s="8" t="str">
        <x:v>Field/bukti lengkap; rincian valid; belum duplikat</x:v>
      </x:c>
      <x:c r="F192" s="8" t="str">
        <x:v>F28</x:v>
      </x:c>
      <x:c r="G192" s="8" t="str">
        <x:v>Dokumen terkunci untuk review</x:v>
      </x:c>
      <x:c r="H192" s="8" t="str">
        <x:v>Tanpa izin: sembunyikan. Tahap belum tepat: nonaktif dengan alasan. Periksa ulang izin, versi dan kondisi pada server.</x:v>
      </x:c>
    </x:row>
    <x:row r="193" ht="110" customHeight="1">
      <x:c r="A193" s="8" t="str">
        <x:v>Pendanaan &amp; Modal / Modal &amp; distribusi</x:v>
      </x:c>
      <x:c r="B193" s="8" t="str">
        <x:v>Setujui
Posisi: Footer tindakan</x:v>
      </x:c>
      <x:c r="C193" s="8" t="str">
        <x:v>Reviewer sesuai mandat</x:v>
      </x:c>
      <x:c r="D193" s="8" t="str">
        <x:v>Menunggu review</x:v>
      </x:c>
      <x:c r="E193" s="8" t="str">
        <x:v>Versi terbaru; mandat/nominal/unit sah; pemisahan orang sesuai kebijakan</x:v>
      </x:c>
      <x:c r="F193" s="8" t="str">
        <x:v>F01</x:v>
      </x:c>
      <x:c r="G193" s="8" t="str">
        <x:v>Keputusan disimpan; tidak berarti sudah dibayar</x:v>
      </x:c>
      <x:c r="H193" s="8" t="str">
        <x:v>Tanpa izin: sembunyikan. Tahap belum tepat: nonaktif dengan alasan. Periksa ulang izin, versi dan kondisi pada server.</x:v>
      </x:c>
    </x:row>
    <x:row r="194" ht="110" customHeight="1">
      <x:c r="A194" s="8" t="str">
        <x:v>Pendanaan &amp; Modal / Modal &amp; distribusi</x:v>
      </x:c>
      <x:c r="B194" s="8" t="str">
        <x:v>Kembalikan
Posisi: Menu tindakan</x:v>
      </x:c>
      <x:c r="C194" s="8" t="str">
        <x:v>Reviewer sesuai mandat</x:v>
      </x:c>
      <x:c r="D194" s="8" t="str">
        <x:v>Menunggu review</x:v>
      </x:c>
      <x:c r="E194" s="8" t="str">
        <x:v>Alasan dan bagian yang harus diperbaiki wajib</x:v>
      </x:c>
      <x:c r="F194" s="8" t="str">
        <x:v>F01</x:v>
      </x:c>
      <x:c r="G194" s="8" t="str">
        <x:v>Pemohon dapat merevisi versi pengajuan</x:v>
      </x:c>
      <x:c r="H194" s="8" t="str">
        <x:v>Tanpa izin: sembunyikan. Tahap belum tepat: nonaktif dengan alasan. Periksa ulang izin, versi dan kondisi pada server.</x:v>
      </x:c>
    </x:row>
    <x:row r="195" ht="110" customHeight="1">
      <x:c r="A195" s="8" t="str">
        <x:v>Pendanaan &amp; Modal / Modal &amp; distribusi</x:v>
      </x:c>
      <x:c r="B195" s="8" t="str">
        <x:v>Ajukan koreksi / pembalikan
Posisi: Menu tindakan</x:v>
      </x:c>
      <x:c r="C195" s="8" t="str">
        <x:v>Pemilik / Akuntansi</x:v>
      </x:c>
      <x:c r="D195" s="8" t="str">
        <x:v>Sudah tercatat</x:v>
      </x:c>
      <x:c r="E195" s="8" t="str">
        <x:v>Periksa pembayaran, periode dan dokumen turunan; alasan wajib</x:v>
      </x:c>
      <x:c r="F195" s="8" t="str">
        <x:v>F01</x:v>
      </x:c>
      <x:c r="G195" s="8" t="str">
        <x:v>Dokumen koreksi tertaut; jurnal lama tidak dihapus</x:v>
      </x:c>
      <x:c r="H195" s="8" t="str">
        <x:v>Tanpa izin: sembunyikan. Tahap belum tepat: nonaktif dengan alasan. Periksa ulang izin, versi dan kondisi pada server.</x:v>
      </x:c>
    </x:row>
    <x:row r="196" ht="110" customHeight="1">
      <x:c r="A196" s="8" t="str">
        <x:v>Pendanaan &amp; Modal / Modal &amp; distribusi</x:v>
      </x:c>
      <x:c r="B196" s="8" t="str">
        <x:v>Buka kas terkait
Posisi: Isi panel</x:v>
      </x:c>
      <x:c r="C196" s="8" t="str">
        <x:v>Pembaca berizin</x:v>
      </x:c>
      <x:c r="D196" s="8" t="str">
        <x:v>Sumber tersedia</x:v>
      </x:c>
      <x:c r="E196" s="8" t="str">
        <x:v>Hak objek tujuan dan unit diperiksa</x:v>
      </x:c>
      <x:c r="F196" s="8" t="str">
        <x:v>PAY/RCPT sumber</x:v>
      </x:c>
      <x:c r="G196" s="8" t="str">
        <x:v>Membuka dokumen yang sama; tidak mengubah data</x:v>
      </x:c>
      <x:c r="H196" s="8" t="str">
        <x:v>Tanpa izin: sembunyikan. Tahap belum tepat: nonaktif dengan alasan. Periksa ulang izin, versi dan kondisi pada server.</x:v>
      </x:c>
    </x:row>
    <x:row r="197" ht="110" customHeight="1">
      <x:c r="A197" s="8" t="str">
        <x:v>Pendanaan &amp; Modal / Perubahan ekuitas</x:v>
      </x:c>
      <x:c r="B197" s="8" t="str">
        <x:v>Buka transaksi modal
Posisi: Isi panel</x:v>
      </x:c>
      <x:c r="C197" s="8" t="str">
        <x:v>Pembaca berizin</x:v>
      </x:c>
      <x:c r="D197" s="8" t="str">
        <x:v>Sumber tersedia</x:v>
      </x:c>
      <x:c r="E197" s="8" t="str">
        <x:v>Hak objek tujuan dan unit diperiksa</x:v>
      </x:c>
      <x:c r="F197" s="8" t="str">
        <x:v>EQ sumber</x:v>
      </x:c>
      <x:c r="G197" s="8" t="str">
        <x:v>Membuka dokumen yang sama; tidak mengubah data</x:v>
      </x:c>
      <x:c r="H197" s="8" t="str">
        <x:v>Tanpa izin: sembunyikan. Tahap belum tepat: nonaktif dengan alasan. Periksa ulang izin, versi dan kondisi pada server.</x:v>
      </x:c>
    </x:row>
    <x:row r="198" ht="110" customHeight="1">
      <x:c r="A198" s="8" t="str">
        <x:v>Pendanaan &amp; Modal / Perubahan ekuitas</x:v>
      </x:c>
      <x:c r="B198" s="8" t="str">
        <x:v>Buka hasil periode
Posisi: Isi panel</x:v>
      </x:c>
      <x:c r="C198" s="8" t="str">
        <x:v>Pembaca berizin</x:v>
      </x:c>
      <x:c r="D198" s="8" t="str">
        <x:v>Sumber tersedia</x:v>
      </x:c>
      <x:c r="E198" s="8" t="str">
        <x:v>Hak objek tujuan dan unit diperiksa</x:v>
      </x:c>
      <x:c r="F198" s="8" t="str">
        <x:v>Laporan/GL</x:v>
      </x:c>
      <x:c r="G198" s="8" t="str">
        <x:v>Membuka dokumen yang sama; tidak mengubah data</x:v>
      </x:c>
      <x:c r="H198" s="8" t="str">
        <x:v>Tanpa izin: sembunyikan. Tahap belum tepat: nonaktif dengan alasan. Periksa ulang izin, versi dan kondisi pada server.</x:v>
      </x:c>
    </x:row>
    <x:row r="199" ht="110" customHeight="1">
      <x:c r="A199" s="8" t="str">
        <x:v>Pendanaan &amp; Modal / Perubahan ekuitas</x:v>
      </x:c>
      <x:c r="B199" s="8" t="str">
        <x:v>Buka penutupan
Posisi: Isi panel</x:v>
      </x:c>
      <x:c r="C199" s="8" t="str">
        <x:v>Pembaca berizin</x:v>
      </x:c>
      <x:c r="D199" s="8" t="str">
        <x:v>Sumber tersedia</x:v>
      </x:c>
      <x:c r="E199" s="8" t="str">
        <x:v>Hak objek tujuan dan unit diperiksa</x:v>
      </x:c>
      <x:c r="F199" s="8" t="str">
        <x:v>Periode sumber</x:v>
      </x:c>
      <x:c r="G199" s="8" t="str">
        <x:v>Membuka dokumen yang sama; tidak mengubah data</x:v>
      </x:c>
      <x:c r="H199" s="8" t="str">
        <x:v>Tanpa izin: sembunyikan. Tahap belum tepat: nonaktif dengan alasan. Periksa ulang izin, versi dan kondisi pada server.</x:v>
      </x:c>
    </x:row>
    <x:row r="200" ht="110" customHeight="1">
      <x:c r="A200" s="8" t="str">
        <x:v>Akuntansi &amp; Tutup Buku / Jurnal</x:v>
      </x:c>
      <x:c r="B200" s="8" t="str">
        <x:v>Ubah draf
Posisi: Header sekunder</x:v>
      </x:c>
      <x:c r="C200" s="8" t="str">
        <x:v>Pemilik dokumen</x:v>
      </x:c>
      <x:c r="D200" s="8" t="str">
        <x:v>Draf / dikembalikan</x:v>
      </x:c>
      <x:c r="E200" s="8" t="str">
        <x:v>Versi terbaru dan dalam cakupan</x:v>
      </x:c>
      <x:c r="F200" s="8" t="str">
        <x:v>F29</x:v>
      </x:c>
      <x:c r="G200" s="8" t="str">
        <x:v>Masuk form; sumber final belum berubah</x:v>
      </x:c>
      <x:c r="H200" s="8" t="str">
        <x:v>Tanpa izin: sembunyikan. Tahap belum tepat: nonaktif dengan alasan. Periksa ulang izin, versi dan kondisi pada server.</x:v>
      </x:c>
    </x:row>
    <x:row r="201" ht="110" customHeight="1">
      <x:c r="A201" s="8" t="str">
        <x:v>Akuntansi &amp; Tutup Buku / Jurnal</x:v>
      </x:c>
      <x:c r="B201" s="8" t="str">
        <x:v>Ajukan
Posisi: Footer tindakan</x:v>
      </x:c>
      <x:c r="C201" s="8" t="str">
        <x:v>Pengaju berizin</x:v>
      </x:c>
      <x:c r="D201" s="8" t="str">
        <x:v>Draf / dikembalikan</x:v>
      </x:c>
      <x:c r="E201" s="8" t="str">
        <x:v>Field/bukti lengkap; rincian valid; belum duplikat</x:v>
      </x:c>
      <x:c r="F201" s="8" t="str">
        <x:v>F29</x:v>
      </x:c>
      <x:c r="G201" s="8" t="str">
        <x:v>Dokumen terkunci untuk review</x:v>
      </x:c>
      <x:c r="H201" s="8" t="str">
        <x:v>Tanpa izin: sembunyikan. Tahap belum tepat: nonaktif dengan alasan. Periksa ulang izin, versi dan kondisi pada server.</x:v>
      </x:c>
    </x:row>
    <x:row r="202" ht="110" customHeight="1">
      <x:c r="A202" s="8" t="str">
        <x:v>Akuntansi &amp; Tutup Buku / Jurnal</x:v>
      </x:c>
      <x:c r="B202" s="8" t="str">
        <x:v>Setujui
Posisi: Footer tindakan</x:v>
      </x:c>
      <x:c r="C202" s="8" t="str">
        <x:v>Reviewer sesuai mandat</x:v>
      </x:c>
      <x:c r="D202" s="8" t="str">
        <x:v>Menunggu review</x:v>
      </x:c>
      <x:c r="E202" s="8" t="str">
        <x:v>Versi terbaru; mandat/nominal/unit sah; pemisahan orang sesuai kebijakan</x:v>
      </x:c>
      <x:c r="F202" s="8" t="str">
        <x:v>F01</x:v>
      </x:c>
      <x:c r="G202" s="8" t="str">
        <x:v>Keputusan disimpan; tidak berarti sudah dibayar</x:v>
      </x:c>
      <x:c r="H202" s="8" t="str">
        <x:v>Tanpa izin: sembunyikan. Tahap belum tepat: nonaktif dengan alasan. Periksa ulang izin, versi dan kondisi pada server.</x:v>
      </x:c>
    </x:row>
    <x:row r="203" ht="110" customHeight="1">
      <x:c r="A203" s="8" t="str">
        <x:v>Akuntansi &amp; Tutup Buku / Jurnal</x:v>
      </x:c>
      <x:c r="B203" s="8" t="str">
        <x:v>Posting jurnal
Posisi: Footer tindakan</x:v>
      </x:c>
      <x:c r="C203" s="8" t="str">
        <x:v>Akuntansi berwenang</x:v>
      </x:c>
      <x:c r="D203" s="8" t="str">
        <x:v>Disetujui</x:v>
      </x:c>
      <x:c r="E203" s="8" t="str">
        <x:v>Seimbang; akun aktif/postable/unit sah; periode terbuka; belum posted</x:v>
      </x:c>
      <x:c r="F203" s="8" t="str">
        <x:v>F29</x:v>
      </x:c>
      <x:c r="G203" s="8" t="str">
        <x:v>Jurnal posted satu kali</x:v>
      </x:c>
      <x:c r="H203" s="8" t="str">
        <x:v>Tanpa izin: sembunyikan. Tahap belum tepat: nonaktif dengan alasan. Periksa ulang izin, versi dan kondisi pada server.</x:v>
      </x:c>
    </x:row>
    <x:row r="204" ht="110" customHeight="1">
      <x:c r="A204" s="8" t="str">
        <x:v>Akuntansi &amp; Tutup Buku / Jurnal</x:v>
      </x:c>
      <x:c r="B204" s="8" t="str">
        <x:v>Ajukan koreksi / pembalikan
Posisi: Menu tindakan</x:v>
      </x:c>
      <x:c r="C204" s="8" t="str">
        <x:v>Pemilik / Akuntansi</x:v>
      </x:c>
      <x:c r="D204" s="8" t="str">
        <x:v>Sudah tercatat</x:v>
      </x:c>
      <x:c r="E204" s="8" t="str">
        <x:v>Periksa pembayaran, periode dan dokumen turunan; alasan wajib</x:v>
      </x:c>
      <x:c r="F204" s="8" t="str">
        <x:v>F01</x:v>
      </x:c>
      <x:c r="G204" s="8" t="str">
        <x:v>Dokumen koreksi tertaut; jurnal lama tidak dihapus</x:v>
      </x:c>
      <x:c r="H204" s="8" t="str">
        <x:v>Tanpa izin: sembunyikan. Tahap belum tepat: nonaktif dengan alasan. Periksa ulang izin, versi dan kondisi pada server.</x:v>
      </x:c>
    </x:row>
    <x:row r="205" ht="110" customHeight="1">
      <x:c r="A205" s="8" t="str">
        <x:v>Akuntansi &amp; Tutup Buku / Jurnal</x:v>
      </x:c>
      <x:c r="B205" s="8" t="str">
        <x:v>Buka sumber
Posisi: Isi panel</x:v>
      </x:c>
      <x:c r="C205" s="8" t="str">
        <x:v>Pembaca berizin</x:v>
      </x:c>
      <x:c r="D205" s="8" t="str">
        <x:v>Sumber tersedia</x:v>
      </x:c>
      <x:c r="E205" s="8" t="str">
        <x:v>Hak objek tujuan dan unit diperiksa</x:v>
      </x:c>
      <x:c r="F205" s="8" t="str">
        <x:v>Dokumen otomatis asal</x:v>
      </x:c>
      <x:c r="G205" s="8" t="str">
        <x:v>Membuka dokumen yang sama; tidak mengubah data</x:v>
      </x:c>
      <x:c r="H205" s="8" t="str">
        <x:v>Tanpa izin: sembunyikan. Tahap belum tepat: nonaktif dengan alasan. Periksa ulang izin, versi dan kondisi pada server.</x:v>
      </x:c>
    </x:row>
    <x:row r="206" ht="110" customHeight="1">
      <x:c r="A206" s="8" t="str">
        <x:v>Akuntansi &amp; Tutup Buku / Pengakuan periodik</x:v>
      </x:c>
      <x:c r="B206" s="8" t="str">
        <x:v>Buka jadwal sumber
Posisi: Isi panel</x:v>
      </x:c>
      <x:c r="C206" s="8" t="str">
        <x:v>Pembaca berizin</x:v>
      </x:c>
      <x:c r="D206" s="8" t="str">
        <x:v>Sumber tersedia</x:v>
      </x:c>
      <x:c r="E206" s="8" t="str">
        <x:v>Hak objek tujuan dan unit diperiksa</x:v>
      </x:c>
      <x:c r="F206" s="8" t="str">
        <x:v>PRE/AST/akrual sumber</x:v>
      </x:c>
      <x:c r="G206" s="8" t="str">
        <x:v>Membuka dokumen yang sama; tidak mengubah data</x:v>
      </x:c>
      <x:c r="H206" s="8" t="str">
        <x:v>Tanpa izin: sembunyikan. Tahap belum tepat: nonaktif dengan alasan. Periksa ulang izin, versi dan kondisi pada server.</x:v>
      </x:c>
    </x:row>
    <x:row r="207" ht="110" customHeight="1">
      <x:c r="A207" s="8" t="str">
        <x:v>Akuntansi &amp; Tutup Buku / Pengakuan periodik</x:v>
      </x:c>
      <x:c r="B207" s="8" t="str">
        <x:v>Tinjau usulan
Posisi: Footer tindakan</x:v>
      </x:c>
      <x:c r="C207" s="8" t="str">
        <x:v>Akuntansi</x:v>
      </x:c>
      <x:c r="D207" s="8" t="str">
        <x:v>Siap review</x:v>
      </x:c>
      <x:c r="E207" s="8" t="str">
        <x:v>Dasar sah dan belum diposting</x:v>
      </x:c>
      <x:c r="F207" s="8" t="str">
        <x:v>F22</x:v>
      </x:c>
      <x:c r="G207" s="8" t="str">
        <x:v>Usulan tervalidasi</x:v>
      </x:c>
      <x:c r="H207" s="8" t="str">
        <x:v>Tanpa izin: sembunyikan. Tahap belum tepat: nonaktif dengan alasan. Periksa ulang izin, versi dan kondisi pada server.</x:v>
      </x:c>
    </x:row>
    <x:row r="208" ht="110" customHeight="1">
      <x:c r="A208" s="8" t="str">
        <x:v>Akuntansi &amp; Tutup Buku / Pengakuan periodik</x:v>
      </x:c>
      <x:c r="B208" s="8" t="str">
        <x:v>Setujui
Posisi: Footer tindakan</x:v>
      </x:c>
      <x:c r="C208" s="8" t="str">
        <x:v>Reviewer sesuai mandat</x:v>
      </x:c>
      <x:c r="D208" s="8" t="str">
        <x:v>Menunggu review</x:v>
      </x:c>
      <x:c r="E208" s="8" t="str">
        <x:v>Versi terbaru; mandat/nominal/unit sah; pemisahan orang sesuai kebijakan</x:v>
      </x:c>
      <x:c r="F208" s="8" t="str">
        <x:v>F01</x:v>
      </x:c>
      <x:c r="G208" s="8" t="str">
        <x:v>Keputusan disimpan; tidak berarti sudah dibayar</x:v>
      </x:c>
      <x:c r="H208" s="8" t="str">
        <x:v>Tanpa izin: sembunyikan. Tahap belum tepat: nonaktif dengan alasan. Periksa ulang izin, versi dan kondisi pada server.</x:v>
      </x:c>
    </x:row>
    <x:row r="209" ht="110" customHeight="1">
      <x:c r="A209" s="8" t="str">
        <x:v>Akuntansi &amp; Tutup Buku / Pengakuan periodik</x:v>
      </x:c>
      <x:c r="B209" s="8" t="str">
        <x:v>Posting pengakuan
Posisi: Footer tindakan</x:v>
      </x:c>
      <x:c r="C209" s="8" t="str">
        <x:v>Akuntansi berwenang</x:v>
      </x:c>
      <x:c r="D209" s="8" t="str">
        <x:v>Disetujui</x:v>
      </x:c>
      <x:c r="E209" s="8" t="str">
        <x:v>Unit/akun/periode benar; cegah jadwal-periode duplikat</x:v>
      </x:c>
      <x:c r="F209" s="8" t="str">
        <x:v>F22</x:v>
      </x:c>
      <x:c r="G209" s="8" t="str">
        <x:v>Jurnal tertaut jadwal</x:v>
      </x:c>
      <x:c r="H209" s="8" t="str">
        <x:v>Tanpa izin: sembunyikan. Tahap belum tepat: nonaktif dengan alasan. Periksa ulang izin, versi dan kondisi pada server.</x:v>
      </x:c>
    </x:row>
    <x:row r="210" ht="110" customHeight="1">
      <x:c r="A210" s="8" t="str">
        <x:v>Akuntansi &amp; Tutup Buku / Pengakuan periodik</x:v>
      </x:c>
      <x:c r="B210" s="8" t="str">
        <x:v>Ajukan koreksi / pembalikan
Posisi: Menu tindakan</x:v>
      </x:c>
      <x:c r="C210" s="8" t="str">
        <x:v>Pemilik / Akuntansi</x:v>
      </x:c>
      <x:c r="D210" s="8" t="str">
        <x:v>Sudah tercatat</x:v>
      </x:c>
      <x:c r="E210" s="8" t="str">
        <x:v>Periksa pembayaran, periode dan dokumen turunan; alasan wajib</x:v>
      </x:c>
      <x:c r="F210" s="8" t="str">
        <x:v>F01</x:v>
      </x:c>
      <x:c r="G210" s="8" t="str">
        <x:v>Dokumen koreksi tertaut; jurnal lama tidak dihapus</x:v>
      </x:c>
      <x:c r="H210" s="8" t="str">
        <x:v>Tanpa izin: sembunyikan. Tahap belum tepat: nonaktif dengan alasan. Periksa ulang izin, versi dan kondisi pada server.</x:v>
      </x:c>
    </x:row>
    <x:row r="211" ht="110" customHeight="1">
      <x:c r="A211" s="8" t="str">
        <x:v>Akuntansi &amp; Tutup Buku / Rekonsiliasi akun</x:v>
      </x:c>
      <x:c r="B211" s="8" t="str">
        <x:v>Ubah draf
Posisi: Header sekunder</x:v>
      </x:c>
      <x:c r="C211" s="8" t="str">
        <x:v>Pemilik dokumen</x:v>
      </x:c>
      <x:c r="D211" s="8" t="str">
        <x:v>Draf / dikembalikan</x:v>
      </x:c>
      <x:c r="E211" s="8" t="str">
        <x:v>Versi terbaru dan dalam cakupan</x:v>
      </x:c>
      <x:c r="F211" s="8" t="str">
        <x:v>F19</x:v>
      </x:c>
      <x:c r="G211" s="8" t="str">
        <x:v>Masuk form; sumber final belum berubah</x:v>
      </x:c>
      <x:c r="H211" s="8" t="str">
        <x:v>Tanpa izin: sembunyikan. Tahap belum tepat: nonaktif dengan alasan. Periksa ulang izin, versi dan kondisi pada server.</x:v>
      </x:c>
    </x:row>
    <x:row r="212" ht="110" customHeight="1">
      <x:c r="A212" s="8" t="str">
        <x:v>Akuntansi &amp; Tutup Buku / Rekonsiliasi akun</x:v>
      </x:c>
      <x:c r="B212" s="8" t="str">
        <x:v>Ajukan
Posisi: Footer tindakan</x:v>
      </x:c>
      <x:c r="C212" s="8" t="str">
        <x:v>Pengaju berizin</x:v>
      </x:c>
      <x:c r="D212" s="8" t="str">
        <x:v>Draf / dikembalikan</x:v>
      </x:c>
      <x:c r="E212" s="8" t="str">
        <x:v>Field/bukti lengkap; rincian valid; belum duplikat</x:v>
      </x:c>
      <x:c r="F212" s="8" t="str">
        <x:v>F19</x:v>
      </x:c>
      <x:c r="G212" s="8" t="str">
        <x:v>Dokumen terkunci untuk review</x:v>
      </x:c>
      <x:c r="H212" s="8" t="str">
        <x:v>Tanpa izin: sembunyikan. Tahap belum tepat: nonaktif dengan alasan. Periksa ulang izin, versi dan kondisi pada server.</x:v>
      </x:c>
    </x:row>
    <x:row r="213" ht="110" customHeight="1">
      <x:c r="A213" s="8" t="str">
        <x:v>Akuntansi &amp; Tutup Buku / Rekonsiliasi akun</x:v>
      </x:c>
      <x:c r="B213" s="8" t="str">
        <x:v>Setujui
Posisi: Footer tindakan</x:v>
      </x:c>
      <x:c r="C213" s="8" t="str">
        <x:v>Reviewer sesuai mandat</x:v>
      </x:c>
      <x:c r="D213" s="8" t="str">
        <x:v>Menunggu review</x:v>
      </x:c>
      <x:c r="E213" s="8" t="str">
        <x:v>Versi terbaru; mandat/nominal/unit sah; pemisahan orang sesuai kebijakan</x:v>
      </x:c>
      <x:c r="F213" s="8" t="str">
        <x:v>F01</x:v>
      </x:c>
      <x:c r="G213" s="8" t="str">
        <x:v>Keputusan disimpan; tidak berarti sudah dibayar</x:v>
      </x:c>
      <x:c r="H213" s="8" t="str">
        <x:v>Tanpa izin: sembunyikan. Tahap belum tepat: nonaktif dengan alasan. Periksa ulang izin, versi dan kondisi pada server.</x:v>
      </x:c>
    </x:row>
    <x:row r="214" ht="110" customHeight="1">
      <x:c r="A214" s="8" t="str">
        <x:v>Akuntansi &amp; Tutup Buku / Rekonsiliasi akun</x:v>
      </x:c>
      <x:c r="B214" s="8" t="str">
        <x:v>Buka sumber selisih
Posisi: Isi panel</x:v>
      </x:c>
      <x:c r="C214" s="8" t="str">
        <x:v>Pembaca berizin</x:v>
      </x:c>
      <x:c r="D214" s="8" t="str">
        <x:v>Sumber tersedia</x:v>
      </x:c>
      <x:c r="E214" s="8" t="str">
        <x:v>Hak objek tujuan dan unit diperiksa</x:v>
      </x:c>
      <x:c r="F214" s="8" t="str">
        <x:v>Register/jurnal sumber</x:v>
      </x:c>
      <x:c r="G214" s="8" t="str">
        <x:v>Membuka dokumen yang sama; tidak mengubah data</x:v>
      </x:c>
      <x:c r="H214" s="8" t="str">
        <x:v>Tanpa izin: sembunyikan. Tahap belum tepat: nonaktif dengan alasan. Periksa ulang izin, versi dan kondisi pada server.</x:v>
      </x:c>
    </x:row>
    <x:row r="215" ht="110" customHeight="1">
      <x:c r="A215" s="8" t="str">
        <x:v>Akuntansi &amp; Tutup Buku / Tutup periode</x:v>
      </x:c>
      <x:c r="B215" s="8" t="str">
        <x:v>Ajukan review penutupan
Posisi: Footer tindakan</x:v>
      </x:c>
      <x:c r="C215" s="8" t="str">
        <x:v>Akuntansi</x:v>
      </x:c>
      <x:c r="D215" s="8" t="str">
        <x:v>Persiapan lengkap</x:v>
      </x:c>
      <x:c r="E215" s="8" t="str">
        <x:v>Checklist sumber lengkap</x:v>
      </x:c>
      <x:c r="F215" s="8" t="str">
        <x:v>F30</x:v>
      </x:c>
      <x:c r="G215" s="8" t="str">
        <x:v>Menunggu review</x:v>
      </x:c>
      <x:c r="H215" s="8" t="str">
        <x:v>Tanpa izin: sembunyikan. Tahap belum tepat: nonaktif dengan alasan. Periksa ulang izin, versi dan kondisi pada server.</x:v>
      </x:c>
    </x:row>
    <x:row r="216" ht="110" customHeight="1">
      <x:c r="A216" s="8" t="str">
        <x:v>Akuntansi &amp; Tutup Buku / Tutup periode</x:v>
      </x:c>
      <x:c r="B216" s="8" t="str">
        <x:v>Tutup periode
Posisi: Footer tindakan</x:v>
      </x:c>
      <x:c r="C216" s="8" t="str">
        <x:v>Controller berwenang</x:v>
      </x:c>
      <x:c r="D216" s="8" t="str">
        <x:v>Direview dan siap</x:v>
      </x:c>
      <x:c r="E216" s="8" t="str">
        <x:v>Bukti nyata; kelengkapan unit; alasan/mandat</x:v>
      </x:c>
      <x:c r="F216" s="8" t="str">
        <x:v>F30</x:v>
      </x:c>
      <x:c r="G216" s="8" t="str">
        <x:v>Periode terkunci dengan jejak</x:v>
      </x:c>
      <x:c r="H216" s="8" t="str">
        <x:v>Tanpa izin: sembunyikan. Tahap belum tepat: nonaktif dengan alasan. Periksa ulang izin, versi dan kondisi pada server.</x:v>
      </x:c>
    </x:row>
    <x:row r="217" ht="110" customHeight="1">
      <x:c r="A217" s="8" t="str">
        <x:v>Akuntansi &amp; Tutup Buku / Tutup periode</x:v>
      </x:c>
      <x:c r="B217" s="8" t="str">
        <x:v>Ajukan buka kembali
Posisi: Footer tindakan</x:v>
      </x:c>
      <x:c r="C217" s="8" t="str">
        <x:v>Akuntansi berwenang</x:v>
      </x:c>
      <x:c r="D217" s="8" t="str">
        <x:v>Ditutup</x:v>
      </x:c>
      <x:c r="E217" s="8" t="str">
        <x:v>Alasan dan dampak; pemutus sesuai mandat</x:v>
      </x:c>
      <x:c r="F217" s="8" t="str">
        <x:v>F30 / F01</x:v>
      </x:c>
      <x:c r="G217" s="8" t="str">
        <x:v>Pembukaan terkendali, bukan edit diam-diam</x:v>
      </x:c>
      <x:c r="H217" s="8" t="str">
        <x:v>Tanpa izin: sembunyikan. Tahap belum tepat: nonaktif dengan alasan. Periksa ulang izin, versi dan kondisi pada server.</x:v>
      </x:c>
    </x:row>
    <x:row r="218" ht="110" customHeight="1">
      <x:c r="A218" s="8" t="str">
        <x:v>Laporan / Laporan keuangan</x:v>
      </x:c>
      <x:c r="B218" s="8" t="str">
        <x:v>Telusuri pos
Posisi: Isi panel</x:v>
      </x:c>
      <x:c r="C218" s="8" t="str">
        <x:v>Pembaca berizin</x:v>
      </x:c>
      <x:c r="D218" s="8" t="str">
        <x:v>Sumber tersedia</x:v>
      </x:c>
      <x:c r="E218" s="8" t="str">
        <x:v>Hak objek tujuan dan unit diperiksa</x:v>
      </x:c>
      <x:c r="F218" s="8" t="str">
        <x:v>Akun → jurnal → sumber</x:v>
      </x:c>
      <x:c r="G218" s="8" t="str">
        <x:v>Membuka dokumen yang sama; tidak mengubah data</x:v>
      </x:c>
      <x:c r="H218" s="8" t="str">
        <x:v>Tanpa izin: sembunyikan. Tahap belum tepat: nonaktif dengan alasan. Periksa ulang izin, versi dan kondisi pada server.</x:v>
      </x:c>
    </x:row>
    <x:row r="219" ht="110" customHeight="1">
      <x:c r="A219" s="8" t="str">
        <x:v>Laporan / Laporan keuangan</x:v>
      </x:c>
      <x:c r="B219" s="8" t="str">
        <x:v>Ekspor
Posisi: Footer tindakan</x:v>
      </x:c>
      <x:c r="C219" s="8" t="str">
        <x:v>Pembaca berizin</x:v>
      </x:c>
      <x:c r="D219" s="8" t="str">
        <x:v>Data tersedia</x:v>
      </x:c>
      <x:c r="E219" s="8" t="str">
        <x:v>Unit/versi/filter dan izin nominal sesuai</x:v>
      </x:c>
      <x:c r="F219" s="8" t="str">
        <x:v>F35</x:v>
      </x:c>
      <x:c r="G219" s="8" t="str">
        <x:v>Laporan hasil sesuai konteks</x:v>
      </x:c>
      <x:c r="H219" s="8" t="str">
        <x:v>Tanpa izin: sembunyikan. Tahap belum tepat: nonaktif dengan alasan. Periksa ulang izin, versi dan kondisi pada server.</x:v>
      </x:c>
    </x:row>
    <x:row r="220" ht="110" customHeight="1">
      <x:c r="A220" s="8" t="str">
        <x:v>Laporan / Buku besar &amp; neraca saldo</x:v>
      </x:c>
      <x:c r="B220" s="8" t="str">
        <x:v>Buka jurnal
Posisi: Isi panel</x:v>
      </x:c>
      <x:c r="C220" s="8" t="str">
        <x:v>Pembaca berizin</x:v>
      </x:c>
      <x:c r="D220" s="8" t="str">
        <x:v>Sumber tersedia</x:v>
      </x:c>
      <x:c r="E220" s="8" t="str">
        <x:v>Hak objek tujuan dan unit diperiksa</x:v>
      </x:c>
      <x:c r="F220" s="8" t="str">
        <x:v>JRN sumber</x:v>
      </x:c>
      <x:c r="G220" s="8" t="str">
        <x:v>Membuka dokumen yang sama; tidak mengubah data</x:v>
      </x:c>
      <x:c r="H220" s="8" t="str">
        <x:v>Tanpa izin: sembunyikan. Tahap belum tepat: nonaktif dengan alasan. Periksa ulang izin, versi dan kondisi pada server.</x:v>
      </x:c>
    </x:row>
    <x:row r="221" ht="110" customHeight="1">
      <x:c r="A221" s="8" t="str">
        <x:v>Laporan / Buku besar &amp; neraca saldo</x:v>
      </x:c>
      <x:c r="B221" s="8" t="str">
        <x:v>Ekspor mutasi
Posisi: Footer tindakan</x:v>
      </x:c>
      <x:c r="C221" s="8" t="str">
        <x:v>Pembaca berizin</x:v>
      </x:c>
      <x:c r="D221" s="8" t="str">
        <x:v>Data tersedia</x:v>
      </x:c>
      <x:c r="E221" s="8" t="str">
        <x:v>Akun/unit/filter sesuai izin</x:v>
      </x:c>
      <x:c r="F221" s="8" t="str">
        <x:v>F35</x:v>
      </x:c>
      <x:c r="G221" s="8" t="str">
        <x:v>Mutasi sesuai cakupan</x:v>
      </x:c>
      <x:c r="H221" s="8" t="str">
        <x:v>Tanpa izin: sembunyikan. Tahap belum tepat: nonaktif dengan alasan. Periksa ulang izin, versi dan kondisi pada server.</x:v>
      </x:c>
    </x:row>
    <x:row r="222" ht="110" customHeight="1">
      <x:c r="A222" s="8" t="str">
        <x:v>Laporan / Operasional finance</x:v>
      </x:c>
      <x:c r="B222" s="8" t="str">
        <x:v>Buka rincian
Posisi: Isi panel</x:v>
      </x:c>
      <x:c r="C222" s="8" t="str">
        <x:v>Pembaca berizin</x:v>
      </x:c>
      <x:c r="D222" s="8" t="str">
        <x:v>Sumber tersedia</x:v>
      </x:c>
      <x:c r="E222" s="8" t="str">
        <x:v>Hak objek tujuan dan unit diperiksa</x:v>
      </x:c>
      <x:c r="F222" s="8" t="str">
        <x:v>Register domain sumber</x:v>
      </x:c>
      <x:c r="G222" s="8" t="str">
        <x:v>Membuka dokumen yang sama; tidak mengubah data</x:v>
      </x:c>
      <x:c r="H222" s="8" t="str">
        <x:v>Tanpa izin: sembunyikan. Tahap belum tepat: nonaktif dengan alasan. Periksa ulang izin, versi dan kondisi pada server.</x:v>
      </x:c>
    </x:row>
    <x:row r="223" ht="110" customHeight="1">
      <x:c r="A223" s="8" t="str">
        <x:v>Laporan / Operasional finance</x:v>
      </x:c>
      <x:c r="B223" s="8" t="str">
        <x:v>Ekspor
Posisi: Footer tindakan</x:v>
      </x:c>
      <x:c r="C223" s="8" t="str">
        <x:v>Pembaca berizin</x:v>
      </x:c>
      <x:c r="D223" s="8" t="str">
        <x:v>Data tersedia</x:v>
      </x:c>
      <x:c r="E223" s="8" t="str">
        <x:v>Cakupan/kolom sensitif sesuai hak</x:v>
      </x:c>
      <x:c r="F223" s="8" t="str">
        <x:v>F35</x:v>
      </x:c>
      <x:c r="G223" s="8" t="str">
        <x:v>Laporan tanpa transaksi baru</x:v>
      </x:c>
      <x:c r="H223" s="8" t="str">
        <x:v>Tanpa izin: sembunyikan. Tahap belum tepat: nonaktif dengan alasan. Periksa ulang izin, versi dan kondisi pada server.</x:v>
      </x:c>
    </x:row>
    <x:row r="224" ht="110" customHeight="1">
      <x:c r="A224" s="8" t="str">
        <x:v>Laporan / Konsolidasi</x:v>
      </x:c>
      <x:c r="B224" s="8" t="str">
        <x:v>Ubah cakupan
Posisi: Header sekunder</x:v>
      </x:c>
      <x:c r="C224" s="8" t="str">
        <x:v>Pembaca berizin</x:v>
      </x:c>
      <x:c r="D224" s="8" t="str">
        <x:v>Laporan terbuka</x:v>
      </x:c>
      <x:c r="E224" s="8" t="str">
        <x:v>Hanya unit berizin; seluruh unit terpilih dihitung</x:v>
      </x:c>
      <x:c r="F224" s="8" t="str">
        <x:v>F35</x:v>
      </x:c>
      <x:c r="G224" s="8" t="str">
        <x:v>Laporan dihitung sesuai konteks</x:v>
      </x:c>
      <x:c r="H224" s="8" t="str">
        <x:v>Tanpa izin: sembunyikan. Tahap belum tepat: nonaktif dengan alasan. Periksa ulang izin, versi dan kondisi pada server.</x:v>
      </x:c>
    </x:row>
    <x:row r="225" ht="110" customHeight="1">
      <x:c r="A225" s="8" t="str">
        <x:v>Laporan / Konsolidasi</x:v>
      </x:c>
      <x:c r="B225" s="8" t="str">
        <x:v>Tinjau eliminasi
Posisi: Footer tindakan</x:v>
      </x:c>
      <x:c r="C225" s="8" t="str">
        <x:v>Pembaca berizin</x:v>
      </x:c>
      <x:c r="D225" s="8" t="str">
        <x:v>Sumber tersedia</x:v>
      </x:c>
      <x:c r="E225" s="8" t="str">
        <x:v>Hak objek tujuan dan unit diperiksa</x:v>
      </x:c>
      <x:c r="F225" s="8" t="str">
        <x:v>Rekonsiliasi/pencatatan eliminasi sumber</x:v>
      </x:c>
      <x:c r="G225" s="8" t="str">
        <x:v>Membuka dokumen yang sama; tidak mengubah data</x:v>
      </x:c>
      <x:c r="H225" s="8" t="str">
        <x:v>Tanpa izin: sembunyikan. Tahap belum tepat: nonaktif dengan alasan. Periksa ulang izin, versi dan kondisi pada server.</x:v>
      </x:c>
    </x:row>
    <x:row r="226" ht="110" customHeight="1">
      <x:c r="A226" s="8" t="str">
        <x:v>Laporan / Konsolidasi</x:v>
      </x:c>
      <x:c r="B226" s="8" t="str">
        <x:v>Ekspor
Posisi: Footer tindakan</x:v>
      </x:c>
      <x:c r="C226" s="8" t="str">
        <x:v>Pembaca berizin</x:v>
      </x:c>
      <x:c r="D226" s="8" t="str">
        <x:v>Data sesuai versi</x:v>
      </x:c>
      <x:c r="E226" s="8" t="str">
        <x:v>Kesiapan dan cakupan unit tampak</x:v>
      </x:c>
      <x:c r="F226" s="8" t="str">
        <x:v>F35</x:v>
      </x:c>
      <x:c r="G226" s="8" t="str">
        <x:v>Laporan gabungan sesuai filter</x:v>
      </x:c>
      <x:c r="H226" s="8" t="str">
        <x:v>Tanpa izin: sembunyikan. Tahap belum tepat: nonaktif dengan alasan. Periksa ulang izin, versi dan kondisi pada server.</x:v>
      </x:c>
    </x:row>
    <x:row r="227" ht="110" customHeight="1">
      <x:c r="A227" s="8" t="str">
        <x:v>Pengaturan Finance / COA</x:v>
      </x:c>
      <x:c r="B227" s="8" t="str">
        <x:v>Ubah draf
Posisi: Header sekunder</x:v>
      </x:c>
      <x:c r="C227" s="8" t="str">
        <x:v>Admin Finance</x:v>
      </x:c>
      <x:c r="D227" s="8" t="str">
        <x:v>Draf / dikembalikan</x:v>
      </x:c>
      <x:c r="E227" s="8" t="str">
        <x:v>Versi terbaru dan dalam cakupan</x:v>
      </x:c>
      <x:c r="F227" s="8" t="str">
        <x:v>F31</x:v>
      </x:c>
      <x:c r="G227" s="8" t="str">
        <x:v>Masuk form; sumber final belum berubah</x:v>
      </x:c>
      <x:c r="H227" s="8" t="str">
        <x:v>Tanpa izin: sembunyikan. Tahap belum tepat: nonaktif dengan alasan. Periksa ulang izin, versi dan kondisi pada server.</x:v>
      </x:c>
    </x:row>
    <x:row r="228" ht="110" customHeight="1">
      <x:c r="A228" s="8" t="str">
        <x:v>Pengaturan Finance / COA</x:v>
      </x:c>
      <x:c r="B228" s="8" t="str">
        <x:v>Ajukan
Posisi: Footer tindakan</x:v>
      </x:c>
      <x:c r="C228" s="8" t="str">
        <x:v>Pengaju berizin</x:v>
      </x:c>
      <x:c r="D228" s="8" t="str">
        <x:v>Draf / dikembalikan</x:v>
      </x:c>
      <x:c r="E228" s="8" t="str">
        <x:v>Field/bukti lengkap; rincian valid; belum duplikat</x:v>
      </x:c>
      <x:c r="F228" s="8" t="str">
        <x:v>F31</x:v>
      </x:c>
      <x:c r="G228" s="8" t="str">
        <x:v>Dokumen terkunci untuk review</x:v>
      </x:c>
      <x:c r="H228" s="8" t="str">
        <x:v>Tanpa izin: sembunyikan. Tahap belum tepat: nonaktif dengan alasan. Periksa ulang izin, versi dan kondisi pada server.</x:v>
      </x:c>
    </x:row>
    <x:row r="229" ht="110" customHeight="1">
      <x:c r="A229" s="8" t="str">
        <x:v>Pengaturan Finance / COA</x:v>
      </x:c>
      <x:c r="B229" s="8" t="str">
        <x:v>Setujui
Posisi: Footer tindakan</x:v>
      </x:c>
      <x:c r="C229" s="8" t="str">
        <x:v>Reviewer sesuai mandat</x:v>
      </x:c>
      <x:c r="D229" s="8" t="str">
        <x:v>Menunggu review</x:v>
      </x:c>
      <x:c r="E229" s="8" t="str">
        <x:v>Versi terbaru; mandat/nominal/unit sah; pemisahan orang sesuai kebijakan</x:v>
      </x:c>
      <x:c r="F229" s="8" t="str">
        <x:v>F01</x:v>
      </x:c>
      <x:c r="G229" s="8" t="str">
        <x:v>Keputusan disimpan; tidak berarti sudah dibayar</x:v>
      </x:c>
      <x:c r="H229" s="8" t="str">
        <x:v>Tanpa izin: sembunyikan. Tahap belum tepat: nonaktif dengan alasan. Periksa ulang izin, versi dan kondisi pada server.</x:v>
      </x:c>
    </x:row>
    <x:row r="230" ht="110" customHeight="1">
      <x:c r="A230" s="8" t="str">
        <x:v>Pengaturan Finance / COA</x:v>
      </x:c>
      <x:c r="B230" s="8" t="str">
        <x:v>Terapkan perubahan
Posisi: Header sekunder</x:v>
      </x:c>
      <x:c r="C230" s="8" t="str">
        <x:v>Admin berwenang</x:v>
      </x:c>
      <x:c r="D230" s="8" t="str">
        <x:v>Disetujui</x:v>
      </x:c>
      <x:c r="E230" s="8" t="str">
        <x:v>Validasi penggunaan/histori; tidak merusak jurnal lama</x:v>
      </x:c>
      <x:c r="F230" s="8" t="str">
        <x:v>F31</x:v>
      </x:c>
      <x:c r="G230" s="8" t="str">
        <x:v>Master versi baru</x:v>
      </x:c>
      <x:c r="H230" s="8" t="str">
        <x:v>Tanpa izin: sembunyikan. Tahap belum tepat: nonaktif dengan alasan. Periksa ulang izin, versi dan kondisi pada server.</x:v>
      </x:c>
    </x:row>
    <x:row r="231" ht="110" customHeight="1">
      <x:c r="A231" s="8" t="str">
        <x:v>Pengaturan Finance / COA</x:v>
      </x:c>
      <x:c r="B231" s="8" t="str">
        <x:v>Lihat penggunaan
Posisi: Isi panel</x:v>
      </x:c>
      <x:c r="C231" s="8" t="str">
        <x:v>Pembaca berizin</x:v>
      </x:c>
      <x:c r="D231" s="8" t="str">
        <x:v>Sumber tersedia</x:v>
      </x:c>
      <x:c r="E231" s="8" t="str">
        <x:v>Hak objek tujuan dan unit diperiksa</x:v>
      </x:c>
      <x:c r="F231" s="8" t="str">
        <x:v>Rule dan jurnal terkait</x:v>
      </x:c>
      <x:c r="G231" s="8" t="str">
        <x:v>Membuka dokumen yang sama; tidak mengubah data</x:v>
      </x:c>
      <x:c r="H231" s="8" t="str">
        <x:v>Tanpa izin: sembunyikan. Tahap belum tepat: nonaktif dengan alasan. Periksa ulang izin, versi dan kondisi pada server.</x:v>
      </x:c>
    </x:row>
    <x:row r="232" ht="110" customHeight="1">
      <x:c r="A232" s="8" t="str">
        <x:v>Pengaturan Finance / Pemetaan transaksi</x:v>
      </x:c>
      <x:c r="B232" s="8" t="str">
        <x:v>Ubah draf
Posisi: Header sekunder</x:v>
      </x:c>
      <x:c r="C232" s="8" t="str">
        <x:v>Admin Finance</x:v>
      </x:c>
      <x:c r="D232" s="8" t="str">
        <x:v>Draf / dikembalikan</x:v>
      </x:c>
      <x:c r="E232" s="8" t="str">
        <x:v>Versi terbaru dan dalam cakupan</x:v>
      </x:c>
      <x:c r="F232" s="8" t="str">
        <x:v>F32</x:v>
      </x:c>
      <x:c r="G232" s="8" t="str">
        <x:v>Masuk form; sumber final belum berubah</x:v>
      </x:c>
      <x:c r="H232" s="8" t="str">
        <x:v>Tanpa izin: sembunyikan. Tahap belum tepat: nonaktif dengan alasan. Periksa ulang izin, versi dan kondisi pada server.</x:v>
      </x:c>
    </x:row>
    <x:row r="233" ht="110" customHeight="1">
      <x:c r="A233" s="8" t="str">
        <x:v>Pengaturan Finance / Pemetaan transaksi</x:v>
      </x:c>
      <x:c r="B233" s="8" t="str">
        <x:v>Simulasikan
Posisi: Footer tindakan</x:v>
      </x:c>
      <x:c r="C233" s="8" t="str">
        <x:v>Admin/reviewer</x:v>
      </x:c>
      <x:c r="D233" s="8" t="str">
        <x:v>Draf valid</x:v>
      </x:c>
      <x:c r="E233" s="8" t="str">
        <x:v>Hanya uji; tidak memposting transaksi bisnis</x:v>
      </x:c>
      <x:c r="F233" s="8" t="str">
        <x:v>F32</x:v>
      </x:c>
      <x:c r="G233" s="8" t="str">
        <x:v>Hasil akun dan jurnal contoh</x:v>
      </x:c>
      <x:c r="H233" s="8" t="str">
        <x:v>Tanpa izin: sembunyikan. Tahap belum tepat: nonaktif dengan alasan. Periksa ulang izin, versi dan kondisi pada server.</x:v>
      </x:c>
    </x:row>
    <x:row r="234" ht="110" customHeight="1">
      <x:c r="A234" s="8" t="str">
        <x:v>Pengaturan Finance / Pemetaan transaksi</x:v>
      </x:c>
      <x:c r="B234" s="8" t="str">
        <x:v>Ajukan
Posisi: Footer tindakan</x:v>
      </x:c>
      <x:c r="C234" s="8" t="str">
        <x:v>Pengaju berizin</x:v>
      </x:c>
      <x:c r="D234" s="8" t="str">
        <x:v>Draf / dikembalikan</x:v>
      </x:c>
      <x:c r="E234" s="8" t="str">
        <x:v>Field/bukti lengkap; rincian valid; belum duplikat</x:v>
      </x:c>
      <x:c r="F234" s="8" t="str">
        <x:v>F32</x:v>
      </x:c>
      <x:c r="G234" s="8" t="str">
        <x:v>Dokumen terkunci untuk review</x:v>
      </x:c>
      <x:c r="H234" s="8" t="str">
        <x:v>Tanpa izin: sembunyikan. Tahap belum tepat: nonaktif dengan alasan. Periksa ulang izin, versi dan kondisi pada server.</x:v>
      </x:c>
    </x:row>
    <x:row r="235" ht="110" customHeight="1">
      <x:c r="A235" s="8" t="str">
        <x:v>Pengaturan Finance / Pemetaan transaksi</x:v>
      </x:c>
      <x:c r="B235" s="8" t="str">
        <x:v>Setujui
Posisi: Footer tindakan</x:v>
      </x:c>
      <x:c r="C235" s="8" t="str">
        <x:v>Reviewer sesuai mandat</x:v>
      </x:c>
      <x:c r="D235" s="8" t="str">
        <x:v>Menunggu review</x:v>
      </x:c>
      <x:c r="E235" s="8" t="str">
        <x:v>Versi terbaru; mandat/nominal/unit sah; pemisahan orang sesuai kebijakan</x:v>
      </x:c>
      <x:c r="F235" s="8" t="str">
        <x:v>F01</x:v>
      </x:c>
      <x:c r="G235" s="8" t="str">
        <x:v>Keputusan disimpan; tidak berarti sudah dibayar</x:v>
      </x:c>
      <x:c r="H235" s="8" t="str">
        <x:v>Tanpa izin: sembunyikan. Tahap belum tepat: nonaktif dengan alasan. Periksa ulang izin, versi dan kondisi pada server.</x:v>
      </x:c>
    </x:row>
    <x:row r="236" ht="110" customHeight="1">
      <x:c r="A236" s="8" t="str">
        <x:v>Pengaturan Finance / Pemetaan transaksi</x:v>
      </x:c>
      <x:c r="B236" s="8" t="str">
        <x:v>Aktifkan
Posisi: Footer tindakan</x:v>
      </x:c>
      <x:c r="C236" s="8" t="str">
        <x:v>Admin berwenang</x:v>
      </x:c>
      <x:c r="D236" s="8" t="str">
        <x:v>Disetujui dan uji memadai</x:v>
      </x:c>
      <x:c r="E236" s="8" t="str">
        <x:v>Alasan nonaktif/bukti bisnis diperiksa</x:v>
      </x:c>
      <x:c r="F236" s="8" t="str">
        <x:v>F32</x:v>
      </x:c>
      <x:c r="G236" s="8" t="str">
        <x:v>Pemetaan aktif berversi</x:v>
      </x:c>
      <x:c r="H236" s="8" t="str">
        <x:v>Tanpa izin: sembunyikan. Tahap belum tepat: nonaktif dengan alasan. Periksa ulang izin, versi dan kondisi pada server.</x:v>
      </x:c>
    </x:row>
    <x:row r="237" ht="110" customHeight="1">
      <x:c r="A237" s="8" t="str">
        <x:v>Pengaturan Finance / Rekening &amp; pihak</x:v>
      </x:c>
      <x:c r="B237" s="8" t="str">
        <x:v>Ubah draf
Posisi: Header sekunder</x:v>
      </x:c>
      <x:c r="C237" s="8" t="str">
        <x:v>Admin Finance</x:v>
      </x:c>
      <x:c r="D237" s="8" t="str">
        <x:v>Draf / dikembalikan</x:v>
      </x:c>
      <x:c r="E237" s="8" t="str">
        <x:v>Versi terbaru dan dalam cakupan</x:v>
      </x:c>
      <x:c r="F237" s="8" t="str">
        <x:v>F33</x:v>
      </x:c>
      <x:c r="G237" s="8" t="str">
        <x:v>Masuk form; sumber final belum berubah</x:v>
      </x:c>
      <x:c r="H237" s="8" t="str">
        <x:v>Tanpa izin: sembunyikan. Tahap belum tepat: nonaktif dengan alasan. Periksa ulang izin, versi dan kondisi pada server.</x:v>
      </x:c>
    </x:row>
    <x:row r="238" ht="110" customHeight="1">
      <x:c r="A238" s="8" t="str">
        <x:v>Pengaturan Finance / Rekening &amp; pihak</x:v>
      </x:c>
      <x:c r="B238" s="8" t="str">
        <x:v>Ajukan
Posisi: Footer tindakan</x:v>
      </x:c>
      <x:c r="C238" s="8" t="str">
        <x:v>Pengaju berizin</x:v>
      </x:c>
      <x:c r="D238" s="8" t="str">
        <x:v>Draf / dikembalikan</x:v>
      </x:c>
      <x:c r="E238" s="8" t="str">
        <x:v>Field/bukti lengkap; rincian valid; belum duplikat</x:v>
      </x:c>
      <x:c r="F238" s="8" t="str">
        <x:v>F33</x:v>
      </x:c>
      <x:c r="G238" s="8" t="str">
        <x:v>Dokumen terkunci untuk review</x:v>
      </x:c>
      <x:c r="H238" s="8" t="str">
        <x:v>Tanpa izin: sembunyikan. Tahap belum tepat: nonaktif dengan alasan. Periksa ulang izin, versi dan kondisi pada server.</x:v>
      </x:c>
    </x:row>
    <x:row r="239" ht="110" customHeight="1">
      <x:c r="A239" s="8" t="str">
        <x:v>Pengaturan Finance / Rekening &amp; pihak</x:v>
      </x:c>
      <x:c r="B239" s="8" t="str">
        <x:v>Setujui
Posisi: Footer tindakan</x:v>
      </x:c>
      <x:c r="C239" s="8" t="str">
        <x:v>Reviewer sesuai mandat</x:v>
      </x:c>
      <x:c r="D239" s="8" t="str">
        <x:v>Menunggu review</x:v>
      </x:c>
      <x:c r="E239" s="8" t="str">
        <x:v>Versi terbaru; mandat/nominal/unit sah; pemisahan orang sesuai kebijakan</x:v>
      </x:c>
      <x:c r="F239" s="8" t="str">
        <x:v>F01</x:v>
      </x:c>
      <x:c r="G239" s="8" t="str">
        <x:v>Keputusan disimpan; tidak berarti sudah dibayar</x:v>
      </x:c>
      <x:c r="H239" s="8" t="str">
        <x:v>Tanpa izin: sembunyikan. Tahap belum tepat: nonaktif dengan alasan. Periksa ulang izin, versi dan kondisi pada server.</x:v>
      </x:c>
    </x:row>
    <x:row r="240" ht="110" customHeight="1">
      <x:c r="A240" s="8" t="str">
        <x:v>Pengaturan Finance / Rekening &amp; pihak</x:v>
      </x:c>
      <x:c r="B240" s="8" t="str">
        <x:v>Terapkan / nonaktifkan
Posisi: Menu tindakan</x:v>
      </x:c>
      <x:c r="C240" s="8" t="str">
        <x:v>Admin berwenang</x:v>
      </x:c>
      <x:c r="D240" s="8" t="str">
        <x:v>Disetujui</x:v>
      </x:c>
      <x:c r="E240" s="8" t="str">
        <x:v>Periksa transaksi terbuka dan histori; jangan hapus sumber</x:v>
      </x:c>
      <x:c r="F240" s="8" t="str">
        <x:v>F33</x:v>
      </x:c>
      <x:c r="G240" s="8" t="str">
        <x:v>Status/master berubah dengan riwayat</x:v>
      </x:c>
      <x:c r="H240" s="8" t="str">
        <x:v>Tanpa izin: sembunyikan. Tahap belum tepat: nonaktif dengan alasan. Periksa ulang izin, versi dan kondisi pada server.</x:v>
      </x:c>
    </x:row>
    <x:row r="241" ht="110" customHeight="1">
      <x:c r="A241" s="8" t="str">
        <x:v>Pengaturan Finance / Kebijakan &amp; jadwal</x:v>
      </x:c>
      <x:c r="B241" s="8" t="str">
        <x:v>Ubah draf
Posisi: Header sekunder</x:v>
      </x:c>
      <x:c r="C241" s="8" t="str">
        <x:v>Pemilik kebijakan</x:v>
      </x:c>
      <x:c r="D241" s="8" t="str">
        <x:v>Draf / dikembalikan</x:v>
      </x:c>
      <x:c r="E241" s="8" t="str">
        <x:v>Versi terbaru dan dalam cakupan</x:v>
      </x:c>
      <x:c r="F241" s="8" t="str">
        <x:v>F34</x:v>
      </x:c>
      <x:c r="G241" s="8" t="str">
        <x:v>Masuk form; sumber final belum berubah</x:v>
      </x:c>
      <x:c r="H241" s="8" t="str">
        <x:v>Tanpa izin: sembunyikan. Tahap belum tepat: nonaktif dengan alasan. Periksa ulang izin, versi dan kondisi pada server.</x:v>
      </x:c>
    </x:row>
    <x:row r="242" ht="110" customHeight="1">
      <x:c r="A242" s="8" t="str">
        <x:v>Pengaturan Finance / Kebijakan &amp; jadwal</x:v>
      </x:c>
      <x:c r="B242" s="8" t="str">
        <x:v>Ajukan
Posisi: Footer tindakan</x:v>
      </x:c>
      <x:c r="C242" s="8" t="str">
        <x:v>Pengaju berizin</x:v>
      </x:c>
      <x:c r="D242" s="8" t="str">
        <x:v>Draf / dikembalikan</x:v>
      </x:c>
      <x:c r="E242" s="8" t="str">
        <x:v>Field/bukti lengkap; rincian valid; belum duplikat</x:v>
      </x:c>
      <x:c r="F242" s="8" t="str">
        <x:v>F34</x:v>
      </x:c>
      <x:c r="G242" s="8" t="str">
        <x:v>Dokumen terkunci untuk review</x:v>
      </x:c>
      <x:c r="H242" s="8" t="str">
        <x:v>Tanpa izin: sembunyikan. Tahap belum tepat: nonaktif dengan alasan. Periksa ulang izin, versi dan kondisi pada server.</x:v>
      </x:c>
    </x:row>
    <x:row r="243" ht="110" customHeight="1">
      <x:c r="A243" s="8" t="str">
        <x:v>Pengaturan Finance / Kebijakan &amp; jadwal</x:v>
      </x:c>
      <x:c r="B243" s="8" t="str">
        <x:v>Setujui
Posisi: Footer tindakan</x:v>
      </x:c>
      <x:c r="C243" s="8" t="str">
        <x:v>Reviewer sesuai mandat</x:v>
      </x:c>
      <x:c r="D243" s="8" t="str">
        <x:v>Menunggu review</x:v>
      </x:c>
      <x:c r="E243" s="8" t="str">
        <x:v>Versi terbaru; mandat/nominal/unit sah; pemisahan orang sesuai kebijakan</x:v>
      </x:c>
      <x:c r="F243" s="8" t="str">
        <x:v>F01</x:v>
      </x:c>
      <x:c r="G243" s="8" t="str">
        <x:v>Keputusan disimpan; tidak berarti sudah dibayar</x:v>
      </x:c>
      <x:c r="H243" s="8" t="str">
        <x:v>Tanpa izin: sembunyikan. Tahap belum tepat: nonaktif dengan alasan. Periksa ulang izin, versi dan kondisi pada server.</x:v>
      </x:c>
    </x:row>
    <x:row r="244" ht="110" customHeight="1">
      <x:c r="A244" s="8" t="str">
        <x:v>Pengaturan Finance / Kebijakan &amp; jadwal</x:v>
      </x:c>
      <x:c r="B244" s="8" t="str">
        <x:v>Publikasikan
Posisi: Footer tindakan</x:v>
      </x:c>
      <x:c r="C244" s="8" t="str">
        <x:v>Admin berwenang</x:v>
      </x:c>
      <x:c r="D244" s="8" t="str">
        <x:v>Disetujui</x:v>
      </x:c>
      <x:c r="E244" s="8" t="str">
        <x:v>Versi berlaku tidak ambigu; dampak jadwal ditinjau</x:v>
      </x:c>
      <x:c r="F244" s="8" t="str">
        <x:v>F34</x:v>
      </x:c>
      <x:c r="G244" s="8" t="str">
        <x:v>Kebijakan berlaku</x:v>
      </x:c>
      <x:c r="H244" s="8" t="str">
        <x:v>Tanpa izin: sembunyikan. Tahap belum tepat: nonaktif dengan alasan. Periksa ulang izin, versi dan kondisi pada server.</x:v>
      </x:c>
    </x:row>
    <x:row r="245" ht="110" customHeight="1">
      <x:c r="A245" s="8" t="str">
        <x:v>Pengaturan Finance / Akses &amp; persetujuan</x:v>
      </x:c>
      <x:c r="B245" s="8" t="str">
        <x:v>Ubah draf
Posisi: Header sekunder</x:v>
      </x:c>
      <x:c r="C245" s="8" t="str">
        <x:v>Pemilik mandat</x:v>
      </x:c>
      <x:c r="D245" s="8" t="str">
        <x:v>Draf / dikembalikan</x:v>
      </x:c>
      <x:c r="E245" s="8" t="str">
        <x:v>Versi terbaru dan dalam cakupan</x:v>
      </x:c>
      <x:c r="F245" s="8" t="str">
        <x:v>F34</x:v>
      </x:c>
      <x:c r="G245" s="8" t="str">
        <x:v>Masuk form; sumber final belum berubah</x:v>
      </x:c>
      <x:c r="H245" s="8" t="str">
        <x:v>Tanpa izin: sembunyikan. Tahap belum tepat: nonaktif dengan alasan. Periksa ulang izin, versi dan kondisi pada server.</x:v>
      </x:c>
    </x:row>
    <x:row r="246" ht="110" customHeight="1">
      <x:c r="A246" s="8" t="str">
        <x:v>Pengaturan Finance / Akses &amp; persetujuan</x:v>
      </x:c>
      <x:c r="B246" s="8" t="str">
        <x:v>Ajukan
Posisi: Footer tindakan</x:v>
      </x:c>
      <x:c r="C246" s="8" t="str">
        <x:v>Pengaju berizin</x:v>
      </x:c>
      <x:c r="D246" s="8" t="str">
        <x:v>Draf / dikembalikan</x:v>
      </x:c>
      <x:c r="E246" s="8" t="str">
        <x:v>Field/bukti lengkap; rincian valid; belum duplikat</x:v>
      </x:c>
      <x:c r="F246" s="8" t="str">
        <x:v>F34</x:v>
      </x:c>
      <x:c r="G246" s="8" t="str">
        <x:v>Dokumen terkunci untuk review</x:v>
      </x:c>
      <x:c r="H246" s="8" t="str">
        <x:v>Tanpa izin: sembunyikan. Tahap belum tepat: nonaktif dengan alasan. Periksa ulang izin, versi dan kondisi pada server.</x:v>
      </x:c>
    </x:row>
    <x:row r="247" ht="110" customHeight="1">
      <x:c r="A247" s="8" t="str">
        <x:v>Pengaturan Finance / Akses &amp; persetujuan</x:v>
      </x:c>
      <x:c r="B247" s="8" t="str">
        <x:v>Setujui
Posisi: Footer tindakan</x:v>
      </x:c>
      <x:c r="C247" s="8" t="str">
        <x:v>Reviewer sesuai mandat</x:v>
      </x:c>
      <x:c r="D247" s="8" t="str">
        <x:v>Menunggu review</x:v>
      </x:c>
      <x:c r="E247" s="8" t="str">
        <x:v>Versi terbaru; mandat/nominal/unit sah; pemisahan orang sesuai kebijakan</x:v>
      </x:c>
      <x:c r="F247" s="8" t="str">
        <x:v>F01</x:v>
      </x:c>
      <x:c r="G247" s="8" t="str">
        <x:v>Keputusan disimpan; tidak berarti sudah dibayar</x:v>
      </x:c>
      <x:c r="H247" s="8" t="str">
        <x:v>Tanpa izin: sembunyikan. Tahap belum tepat: nonaktif dengan alasan. Periksa ulang izin, versi dan kondisi pada server.</x:v>
      </x:c>
    </x:row>
    <x:row r="248" ht="110" customHeight="1">
      <x:c r="A248" s="8" t="str">
        <x:v>Pengaturan Finance / Akses &amp; persetujuan</x:v>
      </x:c>
      <x:c r="B248" s="8" t="str">
        <x:v>Aktifkan akses
Posisi: Footer tindakan</x:v>
      </x:c>
      <x:c r="C248" s="8" t="str">
        <x:v>Admin berwenang</x:v>
      </x:c>
      <x:c r="D248" s="8" t="str">
        <x:v>Disetujui</x:v>
      </x:c>
      <x:c r="E248" s="8" t="str">
        <x:v>Pemberi hak punya mandat; bukan self-grant; server menegakkan</x:v>
      </x:c>
      <x:c r="F248" s="8" t="str">
        <x:v>F34</x:v>
      </x:c>
      <x:c r="G248" s="8" t="str">
        <x:v>Akses berlaku dengan audit</x:v>
      </x:c>
      <x:c r="H248" s="8" t="str">
        <x:v>Tanpa izin: sembunyikan. Tahap belum tepat: nonaktif dengan alasan. Periksa ulang izin, versi dan kondisi pada server.</x:v>
      </x:c>
    </x:row>
    <x:row r="249" ht="110" customHeight="1">
      <x:c r="A249" s="8" t="str">
        <x:v>Pengaturan Finance / Riwayat perubahan</x:v>
      </x:c>
      <x:c r="B249" s="8" t="str">
        <x:v>Buka objek
Posisi: Isi panel</x:v>
      </x:c>
      <x:c r="C249" s="8" t="str">
        <x:v>Pembaca berizin</x:v>
      </x:c>
      <x:c r="D249" s="8" t="str">
        <x:v>Sumber tersedia</x:v>
      </x:c>
      <x:c r="E249" s="8" t="str">
        <x:v>Hak objek tujuan dan unit diperiksa</x:v>
      </x:c>
      <x:c r="F249" s="8" t="str">
        <x:v>Master/rule sumber</x:v>
      </x:c>
      <x:c r="G249" s="8" t="str">
        <x:v>Membuka dokumen yang sama; tidak mengubah data</x:v>
      </x:c>
      <x:c r="H249" s="8" t="str">
        <x:v>Tanpa izin: sembunyikan. Tahap belum tepat: nonaktif dengan alasan. Periksa ulang izin, versi dan kondisi pada server.</x:v>
      </x:c>
    </x:row>
    <x:row r="250" ht="110" customHeight="1">
      <x:c r="A250" s="8" t="str">
        <x:v>Pengaturan Finance / Riwayat perubahan</x:v>
      </x:c>
      <x:c r="B250" s="8" t="str">
        <x:v>Buka keputusan
Posisi: Isi panel</x:v>
      </x:c>
      <x:c r="C250" s="8" t="str">
        <x:v>Pembaca berizin</x:v>
      </x:c>
      <x:c r="D250" s="8" t="str">
        <x:v>Sumber tersedia</x:v>
      </x:c>
      <x:c r="E250" s="8" t="str">
        <x:v>Hak objek tujuan dan unit diperiksa</x:v>
      </x:c>
      <x:c r="F250" s="8" t="str">
        <x:v>Keputusan perubahan</x:v>
      </x:c>
      <x:c r="G250" s="8" t="str">
        <x:v>Membuka dokumen yang sama; tidak mengubah data</x:v>
      </x:c>
      <x:c r="H250" s="8" t="str">
        <x:v>Tanpa izin: sembunyikan. Tahap belum tepat: nonaktif dengan alasan. Periksa ulang izin, versi dan kondisi pada server.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8621654c7a104f1c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2" t="str">
        <x:v>Field form Finance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3" t="str">
        <x:v>35 jenis form. Field, sumber pilihan, kewajiban, validasi dan kondisi edit dirinci di sini. Nominal pajak, kebijakan dan mandat mengikuti keputusan yang sah; contoh tidak menetapkan aturan baru.</x:v>
      </x:c>
      <x:c r="B2" s="23"/>
      <x:c r="C2" s="23"/>
      <x:c r="D2" s="23"/>
      <x:c r="E2" s="23"/>
      <x:c r="F2" s="23"/>
      <x:c r="G2" s="23"/>
      <x:c r="H2" s="23"/>
    </x:row>
    <x:row r="3" ht="22" customHeight="1">
      <x:c r="A3" s="23"/>
      <x:c r="B3" s="23"/>
      <x:c r="C3" s="23"/>
      <x:c r="D3" s="23"/>
      <x:c r="E3" s="23"/>
      <x:c r="F3" s="23"/>
      <x:c r="G3" s="23"/>
      <x:c r="H3" s="23"/>
    </x:row>
    <x:row r="5" ht="38" customHeight="1">
      <x:c r="A5" s="25" t="str">
        <x:v>Form</x:v>
      </x:c>
      <x:c r="B5" s="25" t="str">
        <x:v>Pemilik</x:v>
      </x:c>
      <x:c r="C5" s="25" t="str">
        <x:v>Field</x:v>
      </x:c>
      <x:c r="D5" s="25" t="str">
        <x:v>Bentuk input</x:v>
      </x:c>
      <x:c r="E5" s="25" t="str">
        <x:v>Wajib</x:v>
      </x:c>
      <x:c r="F5" s="25" t="str">
        <x:v>Sumber / pilihan</x:v>
      </x:c>
      <x:c r="G5" s="25" t="str">
        <x:v>Validasi / batas</x:v>
      </x:c>
      <x:c r="H5" s="25" t="str">
        <x:v>Dapat diubah saat</x:v>
      </x:c>
    </x:row>
    <x:row r="6" ht="100" customHeight="1">
      <x:c r="A6" s="8" t="str">
        <x:v>F01 Keputusan / pembatalan / pembalikan</x:v>
      </x:c>
      <x:c r="B6" s="8" t="str">
        <x:v>Reviewer sesuai mandat</x:v>
      </x:c>
      <x:c r="C6" s="8" t="str">
        <x:v>Dokumen dan versi</x:v>
      </x:c>
      <x:c r="D6" s="8" t="str">
        <x:v>Baca saja</x:v>
      </x:c>
      <x:c r="E6" s="8" t="str">
        <x:v>Ya</x:v>
      </x:c>
      <x:c r="F6" s="8" t="str">
        <x:v>Dokumen asal</x:v>
      </x:c>
      <x:c r="G6" s="8" t="str">
        <x:v>Versi terkini; pemutus bukan pengaju jika kebijakan mensyaratkan</x:v>
      </x:c>
      <x:c r="H6" s="8" t="str">
        <x:v>Saat aksi memang tersedia menurut status dan izin</x:v>
      </x:c>
    </x:row>
    <x:row r="7" ht="100" customHeight="1">
      <x:c r="A7" s="8" t="str">
        <x:v>F01 Keputusan / pembatalan / pembalikan</x:v>
      </x:c>
      <x:c r="B7" s="8" t="str">
        <x:v>Reviewer sesuai mandat</x:v>
      </x:c>
      <x:c r="C7" s="8" t="str">
        <x:v>Tindakan</x:v>
      </x:c>
      <x:c r="D7" s="8" t="str">
        <x:v>Pilihan</x:v>
      </x:c>
      <x:c r="E7" s="8" t="str">
        <x:v>Ya</x:v>
      </x:c>
      <x:c r="F7" s="8" t="str">
        <x:v>Aksi yang sah pada status ini</x:v>
      </x:c>
      <x:c r="G7" s="8" t="str">
        <x:v>Setujui, kembalikan, tolak, batalkan atau balik dibedakan</x:v>
      </x:c>
      <x:c r="H7" s="8" t="str">
        <x:v>Saat aksi memang tersedia menurut status dan izin</x:v>
      </x:c>
    </x:row>
    <x:row r="8" ht="100" customHeight="1">
      <x:c r="A8" s="8" t="str">
        <x:v>F01 Keputusan / pembatalan / pembalikan</x:v>
      </x:c>
      <x:c r="B8" s="8" t="str">
        <x:v>Reviewer sesuai mandat</x:v>
      </x:c>
      <x:c r="C8" s="8" t="str">
        <x:v>Alasan</x:v>
      </x:c>
      <x:c r="D8" s="8" t="str">
        <x:v>Teks</x:v>
      </x:c>
      <x:c r="E8" s="8" t="str">
        <x:v>Wajib untuk kembali/tolak/batal/balik</x:v>
      </x:c>
      <x:c r="F8" s="8" t="str">
        <x:v>Reviewer</x:v>
      </x:c>
      <x:c r="G8" s="8" t="str">
        <x:v>Tersimpan bersama keputusan</x:v>
      </x:c>
      <x:c r="H8" s="8" t="str">
        <x:v>Saat aksi memang tersedia menurut status dan izin</x:v>
      </x:c>
    </x:row>
    <x:row r="9" ht="100" customHeight="1">
      <x:c r="A9" s="8" t="str">
        <x:v>F01 Keputusan / pembatalan / pembalikan</x:v>
      </x:c>
      <x:c r="B9" s="8" t="str">
        <x:v>Reviewer sesuai mandat</x:v>
      </x:c>
      <x:c r="C9" s="8" t="str">
        <x:v>Tanggal pembalikan</x:v>
      </x:c>
      <x:c r="D9" s="8" t="str">
        <x:v>Tanggal</x:v>
      </x:c>
      <x:c r="E9" s="8" t="str">
        <x:v>Jika membalik jurnal</x:v>
      </x:c>
      <x:c r="F9" s="8" t="str">
        <x:v>Pengguna berwenang</x:v>
      </x:c>
      <x:c r="G9" s="8" t="str">
        <x:v>Periode tujuan terbuka; tidak menghapus jurnal asal</x:v>
      </x:c>
      <x:c r="H9" s="8" t="str">
        <x:v>Saat aksi memang tersedia menurut status dan izin</x:v>
      </x:c>
    </x:row>
    <x:row r="10" ht="100" customHeight="1">
      <x:c r="A10" s="8" t="str">
        <x:v>F01 Keputusan / pembatalan / pembalikan</x:v>
      </x:c>
      <x:c r="B10" s="8" t="str">
        <x:v>Reviewer sesuai mandat</x:v>
      </x:c>
      <x:c r="C10" s="8" t="str">
        <x:v>Dampak</x:v>
      </x:c>
      <x:c r="D10" s="8" t="str">
        <x:v>Baca saja</x:v>
      </x:c>
      <x:c r="E10" s="8" t="str">
        <x:v>Otomatis</x:v>
      </x:c>
      <x:c r="F10" s="8" t="str">
        <x:v>Dokumen, saldo, pembayaran dan jurnal terkait</x:v>
      </x:c>
      <x:c r="G10" s="8" t="str">
        <x:v>Periksa pembayaran/penyelesaian sebelum membalik</x:v>
      </x:c>
      <x:c r="H10" s="8" t="str">
        <x:v>Saat aksi memang tersedia menurut status dan izin</x:v>
      </x:c>
    </x:row>
    <x:row r="11" ht="100" customHeight="1">
      <x:c r="A11" s="8" t="str">
        <x:v>F01 Keputusan / pembatalan / pembalikan</x:v>
      </x:c>
      <x:c r="B11" s="8" t="str">
        <x:v>Reviewer sesuai mandat</x:v>
      </x:c>
      <x:c r="C11" s="8" t="str">
        <x:v>Pemutus dan waktu</x:v>
      </x:c>
      <x:c r="D11" s="8" t="str">
        <x:v>Baca saja</x:v>
      </x:c>
      <x:c r="E11" s="8" t="str">
        <x:v>Otomatis</x:v>
      </x:c>
      <x:c r="F11" s="8" t="str">
        <x:v>Sesi dan sistem</x:v>
      </x:c>
      <x:c r="G11" s="8" t="str">
        <x:v>Tidak dapat diisi manual</x:v>
      </x:c>
      <x:c r="H11" s="8" t="str">
        <x:v>Saat aksi memang tersedia menurut status dan izin</x:v>
      </x:c>
    </x:row>
    <x:row r="12" ht="100" customHeight="1">
      <x:c r="A12" s="8" t="str">
        <x:v>F02 Pembayaran</x:v>
      </x:c>
      <x:c r="B12" s="8" t="str">
        <x:v>Treasury; sumber kewajiban dari domain</x:v>
      </x:c>
      <x:c r="C12" s="8" t="str">
        <x:v>Nomor dokumen</x:v>
      </x:c>
      <x:c r="D12" s="8" t="str">
        <x:v>Baca saja</x:v>
      </x:c>
      <x:c r="E12" s="8" t="str">
        <x:v>Otomatis</x:v>
      </x:c>
      <x:c r="F12" s="8" t="str">
        <x:v>Sistem</x:v>
      </x:c>
      <x:c r="G12" s="8" t="str">
        <x:v>Tetap satu ID; versi berubah jika revisi</x:v>
      </x:c>
      <x:c r="H12" s="8" t="str">
        <x:v>Draf atau dikembalikan; sesudah diajukan baca saja. Revisi setelah posted melalui prosedur koreksi.</x:v>
      </x:c>
    </x:row>
    <x:row r="13" ht="100" customHeight="1">
      <x:c r="A13" s="8" t="str">
        <x:v>F02 Pembayaran</x:v>
      </x:c>
      <x:c r="B13" s="8" t="str">
        <x:v>Treasury; sumber kewajiban dari domain</x:v>
      </x:c>
      <x:c r="C13" s="8" t="str">
        <x:v>Unit</x:v>
      </x:c>
      <x:c r="D13" s="8" t="str">
        <x:v>Dropdown</x:v>
      </x:c>
      <x:c r="E13" s="8" t="str">
        <x:v>Ya</x:v>
      </x:c>
      <x:c r="F13" s="8" t="str">
        <x:v>Unit yang boleh diakses</x:v>
      </x:c>
      <x:c r="G13" s="8" t="str">
        <x:v>Akun, pihak dan transaksi sesuai unit</x:v>
      </x:c>
      <x:c r="H13" s="8" t="str">
        <x:v>Draf atau dikembalikan; sesudah diajukan baca saja. Revisi setelah posted melalui prosedur koreksi.</x:v>
      </x:c>
    </x:row>
    <x:row r="14" ht="100" customHeight="1">
      <x:c r="A14" s="8" t="str">
        <x:v>F02 Pembayaran</x:v>
      </x:c>
      <x:c r="B14" s="8" t="str">
        <x:v>Treasury; sumber kewajiban dari domain</x:v>
      </x:c>
      <x:c r="C14" s="8" t="str">
        <x:v>Tanggal transaksi</x:v>
      </x:c>
      <x:c r="D14" s="8" t="str">
        <x:v>Tanggal</x:v>
      </x:c>
      <x:c r="E14" s="8" t="str">
        <x:v>Ya</x:v>
      </x:c>
      <x:c r="F14" s="8" t="str">
        <x:v>Pengguna</x:v>
      </x:c>
      <x:c r="G14" s="8" t="str">
        <x:v>Periode harus terbuka untuk posting baru</x:v>
      </x:c>
      <x:c r="H14" s="8" t="str">
        <x:v>Draf atau dikembalikan; sesudah diajukan baca saja. Revisi setelah posted melalui prosedur koreksi.</x:v>
      </x:c>
    </x:row>
    <x:row r="15" ht="100" customHeight="1">
      <x:c r="A15" s="8" t="str">
        <x:v>F02 Pembayaran</x:v>
      </x:c>
      <x:c r="B15" s="8" t="str">
        <x:v>Treasury; sumber kewajiban dari domain</x:v>
      </x:c>
      <x:c r="C15" s="8" t="str">
        <x:v>Keterangan</x:v>
      </x:c>
      <x:c r="D15" s="8" t="str">
        <x:v>Teks</x:v>
      </x:c>
      <x:c r="E15" s="8" t="str">
        <x:v>Sesuai konteks</x:v>
      </x:c>
      <x:c r="F15" s="8" t="str">
        <x:v>Pengguna</x:v>
      </x:c>
      <x:c r="G15" s="8" t="str">
        <x:v>Alasan wajib untuk koreksi atau pengecualian</x:v>
      </x:c>
      <x:c r="H15" s="8" t="str">
        <x:v>Draf atau dikembalikan; sesudah diajukan baca saja. Revisi setelah posted melalui prosedur koreksi.</x:v>
      </x:c>
    </x:row>
    <x:row r="16" ht="100" customHeight="1">
      <x:c r="A16" s="8" t="str">
        <x:v>F02 Pembayaran</x:v>
      </x:c>
      <x:c r="B16" s="8" t="str">
        <x:v>Treasury; sumber kewajiban dari domain</x:v>
      </x:c>
      <x:c r="C16" s="8" t="str">
        <x:v>Lampiran</x:v>
      </x:c>
      <x:c r="D16" s="8" t="str">
        <x:v>Upload dokumen</x:v>
      </x:c>
      <x:c r="E16" s="8" t="str">
        <x:v>Sesuai jenis</x:v>
      </x:c>
      <x:c r="F16" s="8" t="str">
        <x:v>Pengguna</x:v>
      </x:c>
      <x:c r="G16" s="8" t="str">
        <x:v>Jenis/ukuran sesuai konfigurasi; status unggah terlihat</x:v>
      </x:c>
      <x:c r="H16" s="8" t="str">
        <x:v>Draf atau dikembalikan; sesudah diajukan baca saja. Revisi setelah posted melalui prosedur koreksi.</x:v>
      </x:c>
    </x:row>
    <x:row r="17" ht="100" customHeight="1">
      <x:c r="A17" s="8" t="str">
        <x:v>F02 Pembayaran</x:v>
      </x:c>
      <x:c r="B17" s="8" t="str">
        <x:v>Treasury; sumber kewajiban dari domain</x:v>
      </x:c>
      <x:c r="C17" s="8" t="str">
        <x:v>Penerima</x:v>
      </x:c>
      <x:c r="D17" s="8" t="str">
        <x:v>Referensi</x:v>
      </x:c>
      <x:c r="E17" s="8" t="str">
        <x:v>Ya</x:v>
      </x:c>
      <x:c r="F17" s="8" t="str">
        <x:v>Vendor/pegawai/pihak pada sumber</x:v>
      </x:c>
      <x:c r="G17" s="8" t="str">
        <x:v>Alokasi harus kompatibel dengan penerima</x:v>
      </x:c>
      <x:c r="H17" s="8" t="str">
        <x:v>Draf atau dikembalikan; sesudah diajukan baca saja. Revisi setelah posted melalui prosedur koreksi.</x:v>
      </x:c>
    </x:row>
    <x:row r="18" ht="100" customHeight="1">
      <x:c r="A18" s="8" t="str">
        <x:v>F02 Pembayaran</x:v>
      </x:c>
      <x:c r="B18" s="8" t="str">
        <x:v>Treasury; sumber kewajiban dari domain</x:v>
      </x:c>
      <x:c r="C18" s="8" t="str">
        <x:v>Rekening sumber</x:v>
      </x:c>
      <x:c r="D18" s="8" t="str">
        <x:v>Dropdown</x:v>
      </x:c>
      <x:c r="E18" s="8" t="str">
        <x:v>Ya</x:v>
      </x:c>
      <x:c r="F18" s="8" t="str">
        <x:v>Kas/bank aktif yang diizinkan</x:v>
      </x:c>
      <x:c r="G18" s="8" t="str">
        <x:v>Pemetaan rekening, unit dan mata uang tersedia</x:v>
      </x:c>
      <x:c r="H18" s="8" t="str">
        <x:v>Draf atau dikembalikan; sesudah diajukan baca saja. Revisi setelah posted melalui prosedur koreksi.</x:v>
      </x:c>
    </x:row>
    <x:row r="19" ht="100" customHeight="1">
      <x:c r="A19" s="8" t="str">
        <x:v>F02 Pembayaran</x:v>
      </x:c>
      <x:c r="B19" s="8" t="str">
        <x:v>Treasury; sumber kewajiban dari domain</x:v>
      </x:c>
      <x:c r="C19" s="8" t="str">
        <x:v>Metode pembayaran</x:v>
      </x:c>
      <x:c r="D19" s="8" t="str">
        <x:v>Dropdown</x:v>
      </x:c>
      <x:c r="E19" s="8" t="str">
        <x:v>Ya</x:v>
      </x:c>
      <x:c r="F19" s="8" t="str">
        <x:v>Transfer; tunai; giro sesuai konfigurasi</x:v>
      </x:c>
      <x:c r="G19" s="8" t="str">
        <x:v>Giro membuka F05 dan menyimpan bank/instrumen yang sama</x:v>
      </x:c>
      <x:c r="H19" s="8" t="str">
        <x:v>Draf atau dikembalikan; sesudah diajukan baca saja. Revisi setelah posted melalui prosedur koreksi.</x:v>
      </x:c>
    </x:row>
    <x:row r="20" ht="100" customHeight="1">
      <x:c r="A20" s="8" t="str">
        <x:v>F02 Pembayaran</x:v>
      </x:c>
      <x:c r="B20" s="8" t="str">
        <x:v>Treasury; sumber kewajiban dari domain</x:v>
      </x:c>
      <x:c r="C20" s="8" t="str">
        <x:v>Nominal pembayaran Rp</x:v>
      </x:c>
      <x:c r="D20" s="8" t="str">
        <x:v>Nominal</x:v>
      </x:c>
      <x:c r="E20" s="8" t="str">
        <x:v>Ya</x:v>
      </x:c>
      <x:c r="F20" s="8" t="str">
        <x:v>Pengguna atau alokasi</x:v>
      </x:c>
      <x:c r="G20" s="8" t="str">
        <x:v>Positif; sesuai jumlah alokasi; uang muka memakai sumber yang sah</x:v>
      </x:c>
      <x:c r="H20" s="8" t="str">
        <x:v>Draf atau dikembalikan; sesudah diajukan baca saja. Revisi setelah posted melalui prosedur koreksi.</x:v>
      </x:c>
    </x:row>
    <x:row r="21" ht="100" customHeight="1">
      <x:c r="A21" s="8" t="str">
        <x:v>F02 Pembayaran</x:v>
      </x:c>
      <x:c r="B21" s="8" t="str">
        <x:v>Treasury; sumber kewajiban dari domain</x:v>
      </x:c>
      <x:c r="C21" s="8" t="str">
        <x:v>Alokasi kewajiban</x:v>
      </x:c>
      <x:c r="D21" s="8" t="str">
        <x:v>Tabel anak</x:v>
      </x:c>
      <x:c r="E21" s="8" t="str">
        <x:v>Ya untuk pembayaran kewajiban</x:v>
      </x:c>
      <x:c r="F21" s="8" t="str">
        <x:v>Tagihan/payroll/pajak/pinjaman</x:v>
      </x:c>
      <x:c r="G21" s="8" t="str">
        <x:v>Tidak melebihi sisa sumber; satu payment ID lintas menu</x:v>
      </x:c>
      <x:c r="H21" s="8" t="str">
        <x:v>Draf atau dikembalikan; sesudah diajukan baca saja. Revisi setelah posted melalui prosedur koreksi.</x:v>
      </x:c>
    </x:row>
    <x:row r="22" ht="100" customHeight="1">
      <x:c r="A22" s="8" t="str">
        <x:v>F02 Pembayaran</x:v>
      </x:c>
      <x:c r="B22" s="8" t="str">
        <x:v>Treasury; sumber kewajiban dari domain</x:v>
      </x:c>
      <x:c r="C22" s="8" t="str">
        <x:v>Tanggal rencana bayar</x:v>
      </x:c>
      <x:c r="D22" s="8" t="str">
        <x:v>Tanggal</x:v>
      </x:c>
      <x:c r="E22" s="8" t="str">
        <x:v>Jika terjadwal</x:v>
      </x:c>
      <x:c r="F22" s="8" t="str">
        <x:v>Pengguna</x:v>
      </x:c>
      <x:c r="G22" s="8" t="str">
        <x:v>Terpisah dari tanggal eksekusi aktual</x:v>
      </x:c>
      <x:c r="H22" s="8" t="str">
        <x:v>Draf atau dikembalikan; sesudah diajukan baca saja. Revisi setelah posted melalui prosedur koreksi.</x:v>
      </x:c>
    </x:row>
    <x:row r="23" ht="100" customHeight="1">
      <x:c r="A23" s="8" t="str">
        <x:v>F02 Pembayaran</x:v>
      </x:c>
      <x:c r="B23" s="8" t="str">
        <x:v>Treasury; sumber kewajiban dari domain</x:v>
      </x:c>
      <x:c r="C23" s="8" t="str">
        <x:v>Referensi bank</x:v>
      </x:c>
      <x:c r="D23" s="8" t="str">
        <x:v>Teks</x:v>
      </x:c>
      <x:c r="E23" s="8" t="str">
        <x:v>Saat eksekusi jika ada</x:v>
      </x:c>
      <x:c r="F23" s="8" t="str">
        <x:v>Hasil bank</x:v>
      </x:c>
      <x:c r="G23" s="8" t="str">
        <x:v>Tidak menganggap rencana sebagai pembayaran selesai</x:v>
      </x:c>
      <x:c r="H23" s="8" t="str">
        <x:v>Draf atau dikembalikan; sesudah diajukan baca saja. Revisi setelah posted melalui prosedur koreksi.</x:v>
      </x:c>
    </x:row>
    <x:row r="24" ht="100" customHeight="1">
      <x:c r="A24" s="8" t="str">
        <x:v>F02 Pembayaran</x:v>
      </x:c>
      <x:c r="B24" s="8" t="str">
        <x:v>Treasury; sumber kewajiban dari domain</x:v>
      </x:c>
      <x:c r="C24" s="8" t="str">
        <x:v>Bukti bayar</x:v>
      </x:c>
      <x:c r="D24" s="8" t="str">
        <x:v>Dokumen</x:v>
      </x:c>
      <x:c r="E24" s="8" t="str">
        <x:v>Saat konfirmasi sesuai metode</x:v>
      </x:c>
      <x:c r="F24" s="8" t="str">
        <x:v>Hasil eksekusi</x:v>
      </x:c>
      <x:c r="G24" s="8" t="str">
        <x:v>Dikaitkan ke payment, bukan lampiran terpisah tiap tagihan</x:v>
      </x:c>
      <x:c r="H24" s="8" t="str">
        <x:v>Draf atau dikembalikan; sesudah diajukan baca saja. Revisi setelah posted melalui prosedur koreksi.</x:v>
      </x:c>
    </x:row>
    <x:row r="25" ht="100" customHeight="1">
      <x:c r="A25" s="8" t="str">
        <x:v>F03 Penerimaan dan alokasi</x:v>
      </x:c>
      <x:c r="B25" s="8" t="str">
        <x:v>Treasury / AR</x:v>
      </x:c>
      <x:c r="C25" s="8" t="str">
        <x:v>Nomor dokumen</x:v>
      </x:c>
      <x:c r="D25" s="8" t="str">
        <x:v>Baca saja</x:v>
      </x:c>
      <x:c r="E25" s="8" t="str">
        <x:v>Otomatis</x:v>
      </x:c>
      <x:c r="F25" s="8" t="str">
        <x:v>Sistem</x:v>
      </x:c>
      <x:c r="G25" s="8" t="str">
        <x:v>Tetap satu ID; versi berubah jika revisi</x:v>
      </x:c>
      <x:c r="H25" s="8" t="str">
        <x:v>Draf atau dikembalikan; sesudah diajukan baca saja. Revisi setelah posted melalui prosedur koreksi.</x:v>
      </x:c>
    </x:row>
    <x:row r="26" ht="100" customHeight="1">
      <x:c r="A26" s="8" t="str">
        <x:v>F03 Penerimaan dan alokasi</x:v>
      </x:c>
      <x:c r="B26" s="8" t="str">
        <x:v>Treasury / AR</x:v>
      </x:c>
      <x:c r="C26" s="8" t="str">
        <x:v>Unit</x:v>
      </x:c>
      <x:c r="D26" s="8" t="str">
        <x:v>Dropdown</x:v>
      </x:c>
      <x:c r="E26" s="8" t="str">
        <x:v>Ya</x:v>
      </x:c>
      <x:c r="F26" s="8" t="str">
        <x:v>Unit yang boleh diakses</x:v>
      </x:c>
      <x:c r="G26" s="8" t="str">
        <x:v>Akun, pihak dan transaksi sesuai unit</x:v>
      </x:c>
      <x:c r="H26" s="8" t="str">
        <x:v>Draf atau dikembalikan; sesudah diajukan baca saja. Revisi setelah posted melalui prosedur koreksi.</x:v>
      </x:c>
    </x:row>
    <x:row r="27" ht="100" customHeight="1">
      <x:c r="A27" s="8" t="str">
        <x:v>F03 Penerimaan dan alokasi</x:v>
      </x:c>
      <x:c r="B27" s="8" t="str">
        <x:v>Treasury / AR</x:v>
      </x:c>
      <x:c r="C27" s="8" t="str">
        <x:v>Tanggal transaksi</x:v>
      </x:c>
      <x:c r="D27" s="8" t="str">
        <x:v>Tanggal</x:v>
      </x:c>
      <x:c r="E27" s="8" t="str">
        <x:v>Ya</x:v>
      </x:c>
      <x:c r="F27" s="8" t="str">
        <x:v>Pengguna</x:v>
      </x:c>
      <x:c r="G27" s="8" t="str">
        <x:v>Periode harus terbuka untuk posting baru</x:v>
      </x:c>
      <x:c r="H27" s="8" t="str">
        <x:v>Draf atau dikembalikan; sesudah diajukan baca saja. Revisi setelah posted melalui prosedur koreksi.</x:v>
      </x:c>
    </x:row>
    <x:row r="28" ht="100" customHeight="1">
      <x:c r="A28" s="8" t="str">
        <x:v>F03 Penerimaan dan alokasi</x:v>
      </x:c>
      <x:c r="B28" s="8" t="str">
        <x:v>Treasury / AR</x:v>
      </x:c>
      <x:c r="C28" s="8" t="str">
        <x:v>Keterangan</x:v>
      </x:c>
      <x:c r="D28" s="8" t="str">
        <x:v>Teks</x:v>
      </x:c>
      <x:c r="E28" s="8" t="str">
        <x:v>Sesuai konteks</x:v>
      </x:c>
      <x:c r="F28" s="8" t="str">
        <x:v>Pengguna</x:v>
      </x:c>
      <x:c r="G28" s="8" t="str">
        <x:v>Alasan wajib untuk koreksi atau pengecualian</x:v>
      </x:c>
      <x:c r="H28" s="8" t="str">
        <x:v>Draf atau dikembalikan; sesudah diajukan baca saja. Revisi setelah posted melalui prosedur koreksi.</x:v>
      </x:c>
    </x:row>
    <x:row r="29" ht="100" customHeight="1">
      <x:c r="A29" s="8" t="str">
        <x:v>F03 Penerimaan dan alokasi</x:v>
      </x:c>
      <x:c r="B29" s="8" t="str">
        <x:v>Treasury / AR</x:v>
      </x:c>
      <x:c r="C29" s="8" t="str">
        <x:v>Lampiran</x:v>
      </x:c>
      <x:c r="D29" s="8" t="str">
        <x:v>Upload dokumen</x:v>
      </x:c>
      <x:c r="E29" s="8" t="str">
        <x:v>Sesuai jenis</x:v>
      </x:c>
      <x:c r="F29" s="8" t="str">
        <x:v>Pengguna</x:v>
      </x:c>
      <x:c r="G29" s="8" t="str">
        <x:v>Jenis/ukuran sesuai konfigurasi; status unggah terlihat</x:v>
      </x:c>
      <x:c r="H29" s="8" t="str">
        <x:v>Draf atau dikembalikan; sesudah diajukan baca saja. Revisi setelah posted melalui prosedur koreksi.</x:v>
      </x:c>
    </x:row>
    <x:row r="30" ht="100" customHeight="1">
      <x:c r="A30" s="8" t="str">
        <x:v>F03 Penerimaan dan alokasi</x:v>
      </x:c>
      <x:c r="B30" s="8" t="str">
        <x:v>Treasury / AR</x:v>
      </x:c>
      <x:c r="C30" s="8" t="str">
        <x:v>Pihak pengirim</x:v>
      </x:c>
      <x:c r="D30" s="8" t="str">
        <x:v>Referensi</x:v>
      </x:c>
      <x:c r="E30" s="8" t="str">
        <x:v>Ya atau belum dikenali dengan alasan</x:v>
      </x:c>
      <x:c r="F30" s="8" t="str">
        <x:v>Master pihak / hasil bank</x:v>
      </x:c>
      <x:c r="G30" s="8" t="str">
        <x:v>Penerimaan belum dikenal masuk antrean alokasi, bukan pendapatan otomatis</x:v>
      </x:c>
      <x:c r="H30" s="8" t="str">
        <x:v>Draf atau dikembalikan; sesudah diajukan baca saja. Revisi setelah posted melalui prosedur koreksi.</x:v>
      </x:c>
    </x:row>
    <x:row r="31" ht="100" customHeight="1">
      <x:c r="A31" s="8" t="str">
        <x:v>F03 Penerimaan dan alokasi</x:v>
      </x:c>
      <x:c r="B31" s="8" t="str">
        <x:v>Treasury / AR</x:v>
      </x:c>
      <x:c r="C31" s="8" t="str">
        <x:v>Rekening tujuan</x:v>
      </x:c>
      <x:c r="D31" s="8" t="str">
        <x:v>Dropdown</x:v>
      </x:c>
      <x:c r="E31" s="8" t="str">
        <x:v>Ya</x:v>
      </x:c>
      <x:c r="F31" s="8" t="str">
        <x:v>Kas/bank berizin</x:v>
      </x:c>
      <x:c r="G31" s="8" t="str">
        <x:v>Unit dan mata uang konsisten</x:v>
      </x:c>
      <x:c r="H31" s="8" t="str">
        <x:v>Draf atau dikembalikan; sesudah diajukan baca saja. Revisi setelah posted melalui prosedur koreksi.</x:v>
      </x:c>
    </x:row>
    <x:row r="32" ht="100" customHeight="1">
      <x:c r="A32" s="8" t="str">
        <x:v>F03 Penerimaan dan alokasi</x:v>
      </x:c>
      <x:c r="B32" s="8" t="str">
        <x:v>Treasury / AR</x:v>
      </x:c>
      <x:c r="C32" s="8" t="str">
        <x:v>Nominal diterima Rp</x:v>
      </x:c>
      <x:c r="D32" s="8" t="str">
        <x:v>Nominal</x:v>
      </x:c>
      <x:c r="E32" s="8" t="str">
        <x:v>Ya</x:v>
      </x:c>
      <x:c r="F32" s="8" t="str">
        <x:v>Mutasi bank/bukti kas</x:v>
      </x:c>
      <x:c r="G32" s="8" t="str">
        <x:v>Positif; referensi bank tidak dipakai ganda</x:v>
      </x:c>
      <x:c r="H32" s="8" t="str">
        <x:v>Draf atau dikembalikan; sesudah diajukan baca saja. Revisi setelah posted melalui prosedur koreksi.</x:v>
      </x:c>
    </x:row>
    <x:row r="33" ht="100" customHeight="1">
      <x:c r="A33" s="8" t="str">
        <x:v>F03 Penerimaan dan alokasi</x:v>
      </x:c>
      <x:c r="B33" s="8" t="str">
        <x:v>Treasury / AR</x:v>
      </x:c>
      <x:c r="C33" s="8" t="str">
        <x:v>Sumber penerimaan</x:v>
      </x:c>
      <x:c r="D33" s="8" t="str">
        <x:v>Pilihan</x:v>
      </x:c>
      <x:c r="E33" s="8" t="str">
        <x:v>Ya</x:v>
      </x:c>
      <x:c r="F33" s="8" t="str">
        <x:v>Invoice; settlement; modal; lainnya yang disahkan</x:v>
      </x:c>
      <x:c r="G33" s="8" t="str">
        <x:v>Jenis sumber menentukan alokasi dan akun</x:v>
      </x:c>
      <x:c r="H33" s="8" t="str">
        <x:v>Draf atau dikembalikan; sesudah diajukan baca saja. Revisi setelah posted melalui prosedur koreksi.</x:v>
      </x:c>
    </x:row>
    <x:row r="34" ht="100" customHeight="1">
      <x:c r="A34" s="8" t="str">
        <x:v>F03 Penerimaan dan alokasi</x:v>
      </x:c>
      <x:c r="B34" s="8" t="str">
        <x:v>Treasury / AR</x:v>
      </x:c>
      <x:c r="C34" s="8" t="str">
        <x:v>Alokasi penerimaan</x:v>
      </x:c>
      <x:c r="D34" s="8" t="str">
        <x:v>Tabel anak</x:v>
      </x:c>
      <x:c r="E34" s="8" t="str">
        <x:v>Jika sumber diketahui</x:v>
      </x:c>
      <x:c r="F34" s="8" t="str">
        <x:v>Dokumen sumber</x:v>
      </x:c>
      <x:c r="G34" s="8" t="str">
        <x:v>Jumlah dialokasi tidak melebihi penerimaan dan sisa sumber</x:v>
      </x:c>
      <x:c r="H34" s="8" t="str">
        <x:v>Draf atau dikembalikan; sesudah diajukan baca saja. Revisi setelah posted melalui prosedur koreksi.</x:v>
      </x:c>
    </x:row>
    <x:row r="35" ht="100" customHeight="1">
      <x:c r="A35" s="8" t="str">
        <x:v>F03 Penerimaan dan alokasi</x:v>
      </x:c>
      <x:c r="B35" s="8" t="str">
        <x:v>Treasury / AR</x:v>
      </x:c>
      <x:c r="C35" s="8" t="str">
        <x:v>Referensi bank/kas</x:v>
      </x:c>
      <x:c r="D35" s="8" t="str">
        <x:v>Teks / referensi</x:v>
      </x:c>
      <x:c r="E35" s="8" t="str">
        <x:v>Sesuai metode</x:v>
      </x:c>
      <x:c r="F35" s="8" t="str">
        <x:v>Bukti aktual</x:v>
      </x:c>
      <x:c r="G35" s="8" t="str">
        <x:v>Tidak membuat ulang penerimaan saat rekonsiliasi</x:v>
      </x:c>
      <x:c r="H35" s="8" t="str">
        <x:v>Draf atau dikembalikan; sesudah diajukan baca saja. Revisi setelah posted melalui prosedur koreksi.</x:v>
      </x:c>
    </x:row>
    <x:row r="36" ht="100" customHeight="1">
      <x:c r="A36" s="8" t="str">
        <x:v>F04 Transfer dan pengisian kas</x:v>
      </x:c>
      <x:c r="B36" s="8" t="str">
        <x:v>Treasury / kasir</x:v>
      </x:c>
      <x:c r="C36" s="8" t="str">
        <x:v>Nomor dokumen</x:v>
      </x:c>
      <x:c r="D36" s="8" t="str">
        <x:v>Baca saja</x:v>
      </x:c>
      <x:c r="E36" s="8" t="str">
        <x:v>Otomatis</x:v>
      </x:c>
      <x:c r="F36" s="8" t="str">
        <x:v>Sistem</x:v>
      </x:c>
      <x:c r="G36" s="8" t="str">
        <x:v>Tetap satu ID; versi berubah jika revisi</x:v>
      </x:c>
      <x:c r="H36" s="8" t="str">
        <x:v>Draf atau dikembalikan; sesudah diajukan baca saja. Revisi setelah posted melalui prosedur koreksi.</x:v>
      </x:c>
    </x:row>
    <x:row r="37" ht="100" customHeight="1">
      <x:c r="A37" s="8" t="str">
        <x:v>F04 Transfer dan pengisian kas</x:v>
      </x:c>
      <x:c r="B37" s="8" t="str">
        <x:v>Treasury / kasir</x:v>
      </x:c>
      <x:c r="C37" s="8" t="str">
        <x:v>Unit</x:v>
      </x:c>
      <x:c r="D37" s="8" t="str">
        <x:v>Dropdown</x:v>
      </x:c>
      <x:c r="E37" s="8" t="str">
        <x:v>Ya</x:v>
      </x:c>
      <x:c r="F37" s="8" t="str">
        <x:v>Unit yang boleh diakses</x:v>
      </x:c>
      <x:c r="G37" s="8" t="str">
        <x:v>Akun, pihak dan transaksi sesuai unit</x:v>
      </x:c>
      <x:c r="H37" s="8" t="str">
        <x:v>Draf atau dikembalikan; sesudah diajukan baca saja. Revisi setelah posted melalui prosedur koreksi.</x:v>
      </x:c>
    </x:row>
    <x:row r="38" ht="100" customHeight="1">
      <x:c r="A38" s="8" t="str">
        <x:v>F04 Transfer dan pengisian kas</x:v>
      </x:c>
      <x:c r="B38" s="8" t="str">
        <x:v>Treasury / kasir</x:v>
      </x:c>
      <x:c r="C38" s="8" t="str">
        <x:v>Tanggal transaksi</x:v>
      </x:c>
      <x:c r="D38" s="8" t="str">
        <x:v>Tanggal</x:v>
      </x:c>
      <x:c r="E38" s="8" t="str">
        <x:v>Ya</x:v>
      </x:c>
      <x:c r="F38" s="8" t="str">
        <x:v>Pengguna</x:v>
      </x:c>
      <x:c r="G38" s="8" t="str">
        <x:v>Periode harus terbuka untuk posting baru</x:v>
      </x:c>
      <x:c r="H38" s="8" t="str">
        <x:v>Draf atau dikembalikan; sesudah diajukan baca saja. Revisi setelah posted melalui prosedur koreksi.</x:v>
      </x:c>
    </x:row>
    <x:row r="39" ht="100" customHeight="1">
      <x:c r="A39" s="8" t="str">
        <x:v>F04 Transfer dan pengisian kas</x:v>
      </x:c>
      <x:c r="B39" s="8" t="str">
        <x:v>Treasury / kasir</x:v>
      </x:c>
      <x:c r="C39" s="8" t="str">
        <x:v>Keterangan</x:v>
      </x:c>
      <x:c r="D39" s="8" t="str">
        <x:v>Teks</x:v>
      </x:c>
      <x:c r="E39" s="8" t="str">
        <x:v>Sesuai konteks</x:v>
      </x:c>
      <x:c r="F39" s="8" t="str">
        <x:v>Pengguna</x:v>
      </x:c>
      <x:c r="G39" s="8" t="str">
        <x:v>Alasan wajib untuk koreksi atau pengecualian</x:v>
      </x:c>
      <x:c r="H39" s="8" t="str">
        <x:v>Draf atau dikembalikan; sesudah diajukan baca saja. Revisi setelah posted melalui prosedur koreksi.</x:v>
      </x:c>
    </x:row>
    <x:row r="40" ht="100" customHeight="1">
      <x:c r="A40" s="8" t="str">
        <x:v>F04 Transfer dan pengisian kas</x:v>
      </x:c>
      <x:c r="B40" s="8" t="str">
        <x:v>Treasury / kasir</x:v>
      </x:c>
      <x:c r="C40" s="8" t="str">
        <x:v>Lampiran</x:v>
      </x:c>
      <x:c r="D40" s="8" t="str">
        <x:v>Upload dokumen</x:v>
      </x:c>
      <x:c r="E40" s="8" t="str">
        <x:v>Sesuai jenis</x:v>
      </x:c>
      <x:c r="F40" s="8" t="str">
        <x:v>Pengguna</x:v>
      </x:c>
      <x:c r="G40" s="8" t="str">
        <x:v>Jenis/ukuran sesuai konfigurasi; status unggah terlihat</x:v>
      </x:c>
      <x:c r="H40" s="8" t="str">
        <x:v>Draf atau dikembalikan; sesudah diajukan baca saja. Revisi setelah posted melalui prosedur koreksi.</x:v>
      </x:c>
    </x:row>
    <x:row r="41" ht="100" customHeight="1">
      <x:c r="A41" s="8" t="str">
        <x:v>F04 Transfer dan pengisian kas</x:v>
      </x:c>
      <x:c r="B41" s="8" t="str">
        <x:v>Treasury / kasir</x:v>
      </x:c>
      <x:c r="C41" s="8" t="str">
        <x:v>Rekening asal</x:v>
      </x:c>
      <x:c r="D41" s="8" t="str">
        <x:v>Dropdown</x:v>
      </x:c>
      <x:c r="E41" s="8" t="str">
        <x:v>Ya</x:v>
      </x:c>
      <x:c r="F41" s="8" t="str">
        <x:v>Kas/bank berizin</x:v>
      </x:c>
      <x:c r="G41" s="8" t="str">
        <x:v>Berbeda dari tujuan</x:v>
      </x:c>
      <x:c r="H41" s="8" t="str">
        <x:v>Draf atau dikembalikan; sesudah diajukan baca saja. Revisi setelah posted melalui prosedur koreksi.</x:v>
      </x:c>
    </x:row>
    <x:row r="42" ht="100" customHeight="1">
      <x:c r="A42" s="8" t="str">
        <x:v>F04 Transfer dan pengisian kas</x:v>
      </x:c>
      <x:c r="B42" s="8" t="str">
        <x:v>Treasury / kasir</x:v>
      </x:c>
      <x:c r="C42" s="8" t="str">
        <x:v>Rekening tujuan</x:v>
      </x:c>
      <x:c r="D42" s="8" t="str">
        <x:v>Dropdown</x:v>
      </x:c>
      <x:c r="E42" s="8" t="str">
        <x:v>Ya</x:v>
      </x:c>
      <x:c r="F42" s="8" t="str">
        <x:v>Kas/bank berizin</x:v>
      </x:c>
      <x:c r="G42" s="8" t="str">
        <x:v>Beda unit diarahkan ke Antarunit, bukan transfer satu unit</x:v>
      </x:c>
      <x:c r="H42" s="8" t="str">
        <x:v>Draf atau dikembalikan; sesudah diajukan baca saja. Revisi setelah posted melalui prosedur koreksi.</x:v>
      </x:c>
    </x:row>
    <x:row r="43" ht="100" customHeight="1">
      <x:c r="A43" s="8" t="str">
        <x:v>F04 Transfer dan pengisian kas</x:v>
      </x:c>
      <x:c r="B43" s="8" t="str">
        <x:v>Treasury / kasir</x:v>
      </x:c>
      <x:c r="C43" s="8" t="str">
        <x:v>Nominal Rp</x:v>
      </x:c>
      <x:c r="D43" s="8" t="str">
        <x:v>Nominal</x:v>
      </x:c>
      <x:c r="E43" s="8" t="str">
        <x:v>Ya</x:v>
      </x:c>
      <x:c r="F43" s="8" t="str">
        <x:v>Pengguna</x:v>
      </x:c>
      <x:c r="G43" s="8" t="str">
        <x:v>Positif; mata uang sesuai dukungan</x:v>
      </x:c>
      <x:c r="H43" s="8" t="str">
        <x:v>Draf atau dikembalikan; sesudah diajukan baca saja. Revisi setelah posted melalui prosedur koreksi.</x:v>
      </x:c>
    </x:row>
    <x:row r="44" ht="100" customHeight="1">
      <x:c r="A44" s="8" t="str">
        <x:v>F04 Transfer dan pengisian kas</x:v>
      </x:c>
      <x:c r="B44" s="8" t="str">
        <x:v>Treasury / kasir</x:v>
      </x:c>
      <x:c r="C44" s="8" t="str">
        <x:v>Biaya transfer Rp</x:v>
      </x:c>
      <x:c r="D44" s="8" t="str">
        <x:v>Nominal</x:v>
      </x:c>
      <x:c r="E44" s="8" t="str">
        <x:v>Jika ada</x:v>
      </x:c>
      <x:c r="F44" s="8" t="str">
        <x:v>Bukti bank</x:v>
      </x:c>
      <x:c r="G44" s="8" t="str">
        <x:v>Baris biaya sendiri dengan sumber transaksi sama</x:v>
      </x:c>
      <x:c r="H44" s="8" t="str">
        <x:v>Draf atau dikembalikan; sesudah diajukan baca saja. Revisi setelah posted melalui prosedur koreksi.</x:v>
      </x:c>
    </x:row>
    <x:row r="45" ht="100" customHeight="1">
      <x:c r="A45" s="8" t="str">
        <x:v>F04 Transfer dan pengisian kas</x:v>
      </x:c>
      <x:c r="B45" s="8" t="str">
        <x:v>Treasury / kasir</x:v>
      </x:c>
      <x:c r="C45" s="8" t="str">
        <x:v>Penanggung jawab penerima</x:v>
      </x:c>
      <x:c r="D45" s="8" t="str">
        <x:v>Referensi</x:v>
      </x:c>
      <x:c r="E45" s="8" t="str">
        <x:v>Untuk penyerahan kas</x:v>
      </x:c>
      <x:c r="F45" s="8" t="str">
        <x:v>Pihak berwenang</x:v>
      </x:c>
      <x:c r="G45" s="8" t="str">
        <x:v>Konfirmasi serah terima sebelum label diterima</x:v>
      </x:c>
      <x:c r="H45" s="8" t="str">
        <x:v>Draf atau dikembalikan; sesudah diajukan baca saja. Revisi setelah posted melalui prosedur koreksi.</x:v>
      </x:c>
    </x:row>
    <x:row r="46" ht="100" customHeight="1">
      <x:c r="A46" s="8" t="str">
        <x:v>F04 Transfer dan pengisian kas</x:v>
      </x:c>
      <x:c r="B46" s="8" t="str">
        <x:v>Treasury / kasir</x:v>
      </x:c>
      <x:c r="C46" s="8" t="str">
        <x:v>Bukti kirim/terima</x:v>
      </x:c>
      <x:c r="D46" s="8" t="str">
        <x:v>Dokumen</x:v>
      </x:c>
      <x:c r="E46" s="8" t="str">
        <x:v>Sesuai metode</x:v>
      </x:c>
      <x:c r="F46" s="8" t="str">
        <x:v>Pemilik proses</x:v>
      </x:c>
      <x:c r="G46" s="8" t="str">
        <x:v>Dua sisi uang tertaut ke satu transfer</x:v>
      </x:c>
      <x:c r="H46" s="8" t="str">
        <x:v>Draf atau dikembalikan; sesudah diajukan baca saja. Revisi setelah posted melalui prosedur koreksi.</x:v>
      </x:c>
    </x:row>
    <x:row r="47" ht="100" customHeight="1">
      <x:c r="A47" s="8" t="str">
        <x:v>F05 Giro</x:v>
      </x:c>
      <x:c r="B47" s="8" t="str">
        <x:v>Treasury</x:v>
      </x:c>
      <x:c r="C47" s="8" t="str">
        <x:v>Nomor dokumen</x:v>
      </x:c>
      <x:c r="D47" s="8" t="str">
        <x:v>Baca saja</x:v>
      </x:c>
      <x:c r="E47" s="8" t="str">
        <x:v>Otomatis</x:v>
      </x:c>
      <x:c r="F47" s="8" t="str">
        <x:v>Sistem</x:v>
      </x:c>
      <x:c r="G47" s="8" t="str">
        <x:v>Tetap satu ID; versi berubah jika revisi</x:v>
      </x:c>
      <x:c r="H47" s="8" t="str">
        <x:v>Draf atau dikembalikan; sesudah diajukan baca saja. Revisi setelah posted melalui prosedur koreksi.</x:v>
      </x:c>
    </x:row>
    <x:row r="48" ht="100" customHeight="1">
      <x:c r="A48" s="8" t="str">
        <x:v>F05 Giro</x:v>
      </x:c>
      <x:c r="B48" s="8" t="str">
        <x:v>Treasury</x:v>
      </x:c>
      <x:c r="C48" s="8" t="str">
        <x:v>Unit</x:v>
      </x:c>
      <x:c r="D48" s="8" t="str">
        <x:v>Dropdown</x:v>
      </x:c>
      <x:c r="E48" s="8" t="str">
        <x:v>Ya</x:v>
      </x:c>
      <x:c r="F48" s="8" t="str">
        <x:v>Unit yang boleh diakses</x:v>
      </x:c>
      <x:c r="G48" s="8" t="str">
        <x:v>Akun, pihak dan transaksi sesuai unit</x:v>
      </x:c>
      <x:c r="H48" s="8" t="str">
        <x:v>Draf atau dikembalikan; sesudah diajukan baca saja. Revisi setelah posted melalui prosedur koreksi.</x:v>
      </x:c>
    </x:row>
    <x:row r="49" ht="100" customHeight="1">
      <x:c r="A49" s="8" t="str">
        <x:v>F05 Giro</x:v>
      </x:c>
      <x:c r="B49" s="8" t="str">
        <x:v>Treasury</x:v>
      </x:c>
      <x:c r="C49" s="8" t="str">
        <x:v>Tanggal transaksi</x:v>
      </x:c>
      <x:c r="D49" s="8" t="str">
        <x:v>Tanggal</x:v>
      </x:c>
      <x:c r="E49" s="8" t="str">
        <x:v>Ya</x:v>
      </x:c>
      <x:c r="F49" s="8" t="str">
        <x:v>Pengguna</x:v>
      </x:c>
      <x:c r="G49" s="8" t="str">
        <x:v>Periode harus terbuka untuk posting baru</x:v>
      </x:c>
      <x:c r="H49" s="8" t="str">
        <x:v>Draf atau dikembalikan; sesudah diajukan baca saja. Revisi setelah posted melalui prosedur koreksi.</x:v>
      </x:c>
    </x:row>
    <x:row r="50" ht="100" customHeight="1">
      <x:c r="A50" s="8" t="str">
        <x:v>F05 Giro</x:v>
      </x:c>
      <x:c r="B50" s="8" t="str">
        <x:v>Treasury</x:v>
      </x:c>
      <x:c r="C50" s="8" t="str">
        <x:v>Keterangan</x:v>
      </x:c>
      <x:c r="D50" s="8" t="str">
        <x:v>Teks</x:v>
      </x:c>
      <x:c r="E50" s="8" t="str">
        <x:v>Sesuai konteks</x:v>
      </x:c>
      <x:c r="F50" s="8" t="str">
        <x:v>Pengguna</x:v>
      </x:c>
      <x:c r="G50" s="8" t="str">
        <x:v>Alasan wajib untuk koreksi atau pengecualian</x:v>
      </x:c>
      <x:c r="H50" s="8" t="str">
        <x:v>Draf atau dikembalikan; sesudah diajukan baca saja. Revisi setelah posted melalui prosedur koreksi.</x:v>
      </x:c>
    </x:row>
    <x:row r="51" ht="100" customHeight="1">
      <x:c r="A51" s="8" t="str">
        <x:v>F05 Giro</x:v>
      </x:c>
      <x:c r="B51" s="8" t="str">
        <x:v>Treasury</x:v>
      </x:c>
      <x:c r="C51" s="8" t="str">
        <x:v>Lampiran</x:v>
      </x:c>
      <x:c r="D51" s="8" t="str">
        <x:v>Upload dokumen</x:v>
      </x:c>
      <x:c r="E51" s="8" t="str">
        <x:v>Sesuai jenis</x:v>
      </x:c>
      <x:c r="F51" s="8" t="str">
        <x:v>Pengguna</x:v>
      </x:c>
      <x:c r="G51" s="8" t="str">
        <x:v>Jenis/ukuran sesuai konfigurasi; status unggah terlihat</x:v>
      </x:c>
      <x:c r="H51" s="8" t="str">
        <x:v>Draf atau dikembalikan; sesudah diajukan baca saja. Revisi setelah posted melalui prosedur koreksi.</x:v>
      </x:c>
    </x:row>
    <x:row r="52" ht="100" customHeight="1">
      <x:c r="A52" s="8" t="str">
        <x:v>F05 Giro</x:v>
      </x:c>
      <x:c r="B52" s="8" t="str">
        <x:v>Treasury</x:v>
      </x:c>
      <x:c r="C52" s="8" t="str">
        <x:v>Pembayaran sumber</x:v>
      </x:c>
      <x:c r="D52" s="8" t="str">
        <x:v>Referensi</x:v>
      </x:c>
      <x:c r="E52" s="8" t="str">
        <x:v>Ya</x:v>
      </x:c>
      <x:c r="F52" s="8" t="str">
        <x:v>Payment yang disiapkan</x:v>
      </x:c>
      <x:c r="G52" s="8" t="str">
        <x:v>Satu alokasi kewajiban; tidak membuat payment ganda</x:v>
      </x:c>
      <x:c r="H52" s="8" t="str">
        <x:v>Draf atau dikembalikan; sesudah diajukan baca saja. Revisi setelah posted melalui prosedur koreksi.</x:v>
      </x:c>
    </x:row>
    <x:row r="53" ht="100" customHeight="1">
      <x:c r="A53" s="8" t="str">
        <x:v>F05 Giro</x:v>
      </x:c>
      <x:c r="B53" s="8" t="str">
        <x:v>Treasury</x:v>
      </x:c>
      <x:c r="C53" s="8" t="str">
        <x:v>Bank dan rekening</x:v>
      </x:c>
      <x:c r="D53" s="8" t="str">
        <x:v>Dropdown</x:v>
      </x:c>
      <x:c r="E53" s="8" t="str">
        <x:v>Ya</x:v>
      </x:c>
      <x:c r="F53" s="8" t="str">
        <x:v>Rekening aktif berizin</x:v>
      </x:c>
      <x:c r="G53" s="8" t="str">
        <x:v>Bank menentukan akun outstanding giro, bukan default BCA</x:v>
      </x:c>
      <x:c r="H53" s="8" t="str">
        <x:v>Draf atau dikembalikan; sesudah diajukan baca saja. Revisi setelah posted melalui prosedur koreksi.</x:v>
      </x:c>
    </x:row>
    <x:row r="54" ht="100" customHeight="1">
      <x:c r="A54" s="8" t="str">
        <x:v>F05 Giro</x:v>
      </x:c>
      <x:c r="B54" s="8" t="str">
        <x:v>Treasury</x:v>
      </x:c>
      <x:c r="C54" s="8" t="str">
        <x:v>Nomor giro</x:v>
      </x:c>
      <x:c r="D54" s="8" t="str">
        <x:v>Teks identitas</x:v>
      </x:c>
      <x:c r="E54" s="8" t="str">
        <x:v>Ya</x:v>
      </x:c>
      <x:c r="F54" s="8" t="str">
        <x:v>Instrumen</x:v>
      </x:c>
      <x:c r="G54" s="8" t="str">
        <x:v>Tidak duplikat pada bank/rekening yang sama</x:v>
      </x:c>
      <x:c r="H54" s="8" t="str">
        <x:v>Draf atau dikembalikan; sesudah diajukan baca saja. Revisi setelah posted melalui prosedur koreksi.</x:v>
      </x:c>
    </x:row>
    <x:row r="55" ht="100" customHeight="1">
      <x:c r="A55" s="8" t="str">
        <x:v>F05 Giro</x:v>
      </x:c>
      <x:c r="B55" s="8" t="str">
        <x:v>Treasury</x:v>
      </x:c>
      <x:c r="C55" s="8" t="str">
        <x:v>Penerima</x:v>
      </x:c>
      <x:c r="D55" s="8" t="str">
        <x:v>Baca saja / referensi</x:v>
      </x:c>
      <x:c r="E55" s="8" t="str">
        <x:v>Ya</x:v>
      </x:c>
      <x:c r="F55" s="8" t="str">
        <x:v>Payment</x:v>
      </x:c>
      <x:c r="G55" s="8" t="str">
        <x:v>Konsisten dengan alokasi</x:v>
      </x:c>
      <x:c r="H55" s="8" t="str">
        <x:v>Draf atau dikembalikan; sesudah diajukan baca saja. Revisi setelah posted melalui prosedur koreksi.</x:v>
      </x:c>
    </x:row>
    <x:row r="56" ht="100" customHeight="1">
      <x:c r="A56" s="8" t="str">
        <x:v>F05 Giro</x:v>
      </x:c>
      <x:c r="B56" s="8" t="str">
        <x:v>Treasury</x:v>
      </x:c>
      <x:c r="C56" s="8" t="str">
        <x:v>Nominal Rp</x:v>
      </x:c>
      <x:c r="D56" s="8" t="str">
        <x:v>Baca saja</x:v>
      </x:c>
      <x:c r="E56" s="8" t="str">
        <x:v>Ya</x:v>
      </x:c>
      <x:c r="F56" s="8" t="str">
        <x:v>Payment/alokasi</x:v>
      </x:c>
      <x:c r="G56" s="8" t="str">
        <x:v>Jumlah giro sesuai payment</x:v>
      </x:c>
      <x:c r="H56" s="8" t="str">
        <x:v>Draf atau dikembalikan; sesudah diajukan baca saja. Revisi setelah posted melalui prosedur koreksi.</x:v>
      </x:c>
    </x:row>
    <x:row r="57" ht="100" customHeight="1">
      <x:c r="A57" s="8" t="str">
        <x:v>F05 Giro</x:v>
      </x:c>
      <x:c r="B57" s="8" t="str">
        <x:v>Treasury</x:v>
      </x:c>
      <x:c r="C57" s="8" t="str">
        <x:v>Tanggal terbit</x:v>
      </x:c>
      <x:c r="D57" s="8" t="str">
        <x:v>Tanggal</x:v>
      </x:c>
      <x:c r="E57" s="8" t="str">
        <x:v>Ya</x:v>
      </x:c>
      <x:c r="F57" s="8" t="str">
        <x:v>Pengguna</x:v>
      </x:c>
      <x:c r="G57" s="8" t="str">
        <x:v>Periode terbuka</x:v>
      </x:c>
      <x:c r="H57" s="8" t="str">
        <x:v>Draf atau dikembalikan; sesudah diajukan baca saja. Revisi setelah posted melalui prosedur koreksi.</x:v>
      </x:c>
    </x:row>
    <x:row r="58" ht="100" customHeight="1">
      <x:c r="A58" s="8" t="str">
        <x:v>F05 Giro</x:v>
      </x:c>
      <x:c r="B58" s="8" t="str">
        <x:v>Treasury</x:v>
      </x:c>
      <x:c r="C58" s="8" t="str">
        <x:v>Tanggal jatuh tempo</x:v>
      </x:c>
      <x:c r="D58" s="8" t="str">
        <x:v>Tanggal</x:v>
      </x:c>
      <x:c r="E58" s="8" t="str">
        <x:v>Ya</x:v>
      </x:c>
      <x:c r="F58" s="8" t="str">
        <x:v>Instrumen</x:v>
      </x:c>
      <x:c r="G58" s="8" t="str">
        <x:v>Tidak sebelum terbit</x:v>
      </x:c>
      <x:c r="H58" s="8" t="str">
        <x:v>Draf atau dikembalikan; sesudah diajukan baca saja. Revisi setelah posted melalui prosedur koreksi.</x:v>
      </x:c>
    </x:row>
    <x:row r="59" ht="100" customHeight="1">
      <x:c r="A59" s="8" t="str">
        <x:v>F05 Giro</x:v>
      </x:c>
      <x:c r="B59" s="8" t="str">
        <x:v>Treasury</x:v>
      </x:c>
      <x:c r="C59" s="8" t="str">
        <x:v>Tanggal cair/ditolak</x:v>
      </x:c>
      <x:c r="D59" s="8" t="str">
        <x:v>Tanggal</x:v>
      </x:c>
      <x:c r="E59" s="8" t="str">
        <x:v>Saat kejadian aktual</x:v>
      </x:c>
      <x:c r="F59" s="8" t="str">
        <x:v>Bank</x:v>
      </x:c>
      <x:c r="G59" s="8" t="str">
        <x:v>Terpisah dari jatuh tempo</x:v>
      </x:c>
      <x:c r="H59" s="8" t="str">
        <x:v>Draf atau dikembalikan; sesudah diajukan baca saja. Revisi setelah posted melalui prosedur koreksi.</x:v>
      </x:c>
    </x:row>
    <x:row r="60" ht="100" customHeight="1">
      <x:c r="A60" s="8" t="str">
        <x:v>F05 Giro</x:v>
      </x:c>
      <x:c r="B60" s="8" t="str">
        <x:v>Treasury</x:v>
      </x:c>
      <x:c r="C60" s="8" t="str">
        <x:v>Bukti instrumen/kejadian</x:v>
      </x:c>
      <x:c r="D60" s="8" t="str">
        <x:v>Dokumen</x:v>
      </x:c>
      <x:c r="E60" s="8" t="str">
        <x:v>Sesuai tahap</x:v>
      </x:c>
      <x:c r="F60" s="8" t="str">
        <x:v>Bank/Treasury</x:v>
      </x:c>
      <x:c r="G60" s="8" t="str">
        <x:v>Pencairan, penolakan dan pembatalan punya jejak</x:v>
      </x:c>
      <x:c r="H60" s="8" t="str">
        <x:v>Draf atau dikembalikan; sesudah diajukan baca saja. Revisi setelah posted melalui prosedur koreksi.</x:v>
      </x:c>
    </x:row>
    <x:row r="61" ht="100" customHeight="1">
      <x:c r="A61" s="8" t="str">
        <x:v>F06 Rekonsiliasi bank</x:v>
      </x:c>
      <x:c r="B61" s="8" t="str">
        <x:v>Treasury</x:v>
      </x:c>
      <x:c r="C61" s="8" t="str">
        <x:v>Rekening</x:v>
      </x:c>
      <x:c r="D61" s="8" t="str">
        <x:v>Dropdown</x:v>
      </x:c>
      <x:c r="E61" s="8" t="str">
        <x:v>Ya</x:v>
      </x:c>
      <x:c r="F61" s="8" t="str">
        <x:v>Rekening berizin</x:v>
      </x:c>
      <x:c r="G61" s="8" t="str">
        <x:v>Satu rekening per sesi impor/cocokkan</x:v>
      </x:c>
      <x:c r="H61" s="8" t="str">
        <x:v>Draf atau dikembalikan; sesudah diajukan baca saja. Revisi setelah posted melalui prosedur koreksi.</x:v>
      </x:c>
    </x:row>
    <x:row r="62" ht="100" customHeight="1">
      <x:c r="A62" s="8" t="str">
        <x:v>F06 Rekonsiliasi bank</x:v>
      </x:c>
      <x:c r="B62" s="8" t="str">
        <x:v>Treasury</x:v>
      </x:c>
      <x:c r="C62" s="8" t="str">
        <x:v>Periode mutasi</x:v>
      </x:c>
      <x:c r="D62" s="8" t="str">
        <x:v>Rentang tanggal</x:v>
      </x:c>
      <x:c r="E62" s="8" t="str">
        <x:v>Ya</x:v>
      </x:c>
      <x:c r="F62" s="8" t="str">
        <x:v>Statement bank</x:v>
      </x:c>
      <x:c r="G62" s="8" t="str">
        <x:v>Tampilkan cakupan yang diimpor</x:v>
      </x:c>
      <x:c r="H62" s="8" t="str">
        <x:v>Draf atau dikembalikan; sesudah diajukan baca saja. Revisi setelah posted melalui prosedur koreksi.</x:v>
      </x:c>
    </x:row>
    <x:row r="63" ht="100" customHeight="1">
      <x:c r="A63" s="8" t="str">
        <x:v>F06 Rekonsiliasi bank</x:v>
      </x:c>
      <x:c r="B63" s="8" t="str">
        <x:v>Treasury</x:v>
      </x:c>
      <x:c r="C63" s="8" t="str">
        <x:v>File/asal statement</x:v>
      </x:c>
      <x:c r="D63" s="8" t="str">
        <x:v>File / referensi</x:v>
      </x:c>
      <x:c r="E63" s="8" t="str">
        <x:v>Saat impor</x:v>
      </x:c>
      <x:c r="F63" s="8" t="str">
        <x:v>Bank</x:v>
      </x:c>
      <x:c r="G63" s="8" t="str">
        <x:v>Pratinjau; cek baris duplikat sebelum simpan</x:v>
      </x:c>
      <x:c r="H63" s="8" t="str">
        <x:v>Draf atau dikembalikan; sesudah diajukan baca saja. Revisi setelah posted melalui prosedur koreksi.</x:v>
      </x:c>
    </x:row>
    <x:row r="64" ht="100" customHeight="1">
      <x:c r="A64" s="8" t="str">
        <x:v>F06 Rekonsiliasi bank</x:v>
      </x:c>
      <x:c r="B64" s="8" t="str">
        <x:v>Treasury</x:v>
      </x:c>
      <x:c r="C64" s="8" t="str">
        <x:v>Baris bank</x:v>
      </x:c>
      <x:c r="D64" s="8" t="str">
        <x:v>Baca saja</x:v>
      </x:c>
      <x:c r="E64" s="8" t="str">
        <x:v>Ya</x:v>
      </x:c>
      <x:c r="F64" s="8" t="str">
        <x:v>Statement</x:v>
      </x:c>
      <x:c r="G64" s="8" t="str">
        <x:v>Nilai asli tidak diedit agar cocok</x:v>
      </x:c>
      <x:c r="H64" s="8" t="str">
        <x:v>Draf atau dikembalikan; sesudah diajukan baca saja. Revisi setelah posted melalui prosedur koreksi.</x:v>
      </x:c>
    </x:row>
    <x:row r="65" ht="100" customHeight="1">
      <x:c r="A65" s="8" t="str">
        <x:v>F06 Rekonsiliasi bank</x:v>
      </x:c>
      <x:c r="B65" s="8" t="str">
        <x:v>Treasury</x:v>
      </x:c>
      <x:c r="C65" s="8" t="str">
        <x:v>Pasangan buku</x:v>
      </x:c>
      <x:c r="D65" s="8" t="str">
        <x:v>Pilihan jamak</x:v>
      </x:c>
      <x:c r="E65" s="8" t="str">
        <x:v>Saat cocokkan</x:v>
      </x:c>
      <x:c r="F65" s="8" t="str">
        <x:v>Payment/receipt/jurnal</x:v>
      </x:c>
      <x:c r="G65" s="8" t="str">
        <x:v>Arah, rekening, nominal dan alokasi kompatibel</x:v>
      </x:c>
      <x:c r="H65" s="8" t="str">
        <x:v>Draf atau dikembalikan; sesudah diajukan baca saja. Revisi setelah posted melalui prosedur koreksi.</x:v>
      </x:c>
    </x:row>
    <x:row r="66" ht="100" customHeight="1">
      <x:c r="A66" s="8" t="str">
        <x:v>F06 Rekonsiliasi bank</x:v>
      </x:c>
      <x:c r="B66" s="8" t="str">
        <x:v>Treasury</x:v>
      </x:c>
      <x:c r="C66" s="8" t="str">
        <x:v>Nominal dicocokkan Rp</x:v>
      </x:c>
      <x:c r="D66" s="8" t="str">
        <x:v>Nominal alokasi</x:v>
      </x:c>
      <x:c r="E66" s="8" t="str">
        <x:v>Jika parsial</x:v>
      </x:c>
      <x:c r="F66" s="8" t="str">
        <x:v>Sisa bank dan buku</x:v>
      </x:c>
      <x:c r="G66" s="8" t="str">
        <x:v>Tidak melebihi sisa salah satu sisi</x:v>
      </x:c>
      <x:c r="H66" s="8" t="str">
        <x:v>Draf atau dikembalikan; sesudah diajukan baca saja. Revisi setelah posted melalui prosedur koreksi.</x:v>
      </x:c>
    </x:row>
    <x:row r="67" ht="100" customHeight="1">
      <x:c r="A67" s="8" t="str">
        <x:v>F06 Rekonsiliasi bank</x:v>
      </x:c>
      <x:c r="B67" s="8" t="str">
        <x:v>Treasury</x:v>
      </x:c>
      <x:c r="C67" s="8" t="str">
        <x:v>Penanganan selisih</x:v>
      </x:c>
      <x:c r="D67" s="8" t="str">
        <x:v>Pilihan + alasan</x:v>
      </x:c>
      <x:c r="E67" s="8" t="str">
        <x:v>Jika ada selisih</x:v>
      </x:c>
      <x:c r="F67" s="8" t="str">
        <x:v>Biaya/pendapatan/koreksi sumber sesuai mandat</x:v>
      </x:c>
      <x:c r="G67" s="8" t="str">
        <x:v>Bukan jurnal selisih otomatis tanpa dasar</x:v>
      </x:c>
      <x:c r="H67" s="8" t="str">
        <x:v>Draf atau dikembalikan; sesudah diajukan baca saja. Revisi setelah posted melalui prosedur koreksi.</x:v>
      </x:c>
    </x:row>
    <x:row r="68" ht="100" customHeight="1">
      <x:c r="A68" s="8" t="str">
        <x:v>F07 Tagihan vendor</x:v>
      </x:c>
      <x:c r="B68" s="8" t="str">
        <x:v>AP</x:v>
      </x:c>
      <x:c r="C68" s="8" t="str">
        <x:v>Nomor dokumen</x:v>
      </x:c>
      <x:c r="D68" s="8" t="str">
        <x:v>Baca saja</x:v>
      </x:c>
      <x:c r="E68" s="8" t="str">
        <x:v>Otomatis</x:v>
      </x:c>
      <x:c r="F68" s="8" t="str">
        <x:v>Sistem</x:v>
      </x:c>
      <x:c r="G68" s="8" t="str">
        <x:v>Tetap satu ID; versi berubah jika revisi</x:v>
      </x:c>
      <x:c r="H68" s="8" t="str">
        <x:v>Draf atau dikembalikan; sesudah diajukan baca saja. Revisi setelah posted melalui prosedur koreksi.</x:v>
      </x:c>
    </x:row>
    <x:row r="69" ht="100" customHeight="1">
      <x:c r="A69" s="8" t="str">
        <x:v>F07 Tagihan vendor</x:v>
      </x:c>
      <x:c r="B69" s="8" t="str">
        <x:v>AP</x:v>
      </x:c>
      <x:c r="C69" s="8" t="str">
        <x:v>Unit</x:v>
      </x:c>
      <x:c r="D69" s="8" t="str">
        <x:v>Dropdown</x:v>
      </x:c>
      <x:c r="E69" s="8" t="str">
        <x:v>Ya</x:v>
      </x:c>
      <x:c r="F69" s="8" t="str">
        <x:v>Unit yang boleh diakses</x:v>
      </x:c>
      <x:c r="G69" s="8" t="str">
        <x:v>Akun, pihak dan transaksi sesuai unit</x:v>
      </x:c>
      <x:c r="H69" s="8" t="str">
        <x:v>Draf atau dikembalikan; sesudah diajukan baca saja. Revisi setelah posted melalui prosedur koreksi.</x:v>
      </x:c>
    </x:row>
    <x:row r="70" ht="100" customHeight="1">
      <x:c r="A70" s="8" t="str">
        <x:v>F07 Tagihan vendor</x:v>
      </x:c>
      <x:c r="B70" s="8" t="str">
        <x:v>AP</x:v>
      </x:c>
      <x:c r="C70" s="8" t="str">
        <x:v>Tanggal transaksi</x:v>
      </x:c>
      <x:c r="D70" s="8" t="str">
        <x:v>Tanggal</x:v>
      </x:c>
      <x:c r="E70" s="8" t="str">
        <x:v>Ya</x:v>
      </x:c>
      <x:c r="F70" s="8" t="str">
        <x:v>Pengguna</x:v>
      </x:c>
      <x:c r="G70" s="8" t="str">
        <x:v>Periode harus terbuka untuk posting baru</x:v>
      </x:c>
      <x:c r="H70" s="8" t="str">
        <x:v>Draf atau dikembalikan; sesudah diajukan baca saja. Revisi setelah posted melalui prosedur koreksi.</x:v>
      </x:c>
    </x:row>
    <x:row r="71" ht="100" customHeight="1">
      <x:c r="A71" s="8" t="str">
        <x:v>F07 Tagihan vendor</x:v>
      </x:c>
      <x:c r="B71" s="8" t="str">
        <x:v>AP</x:v>
      </x:c>
      <x:c r="C71" s="8" t="str">
        <x:v>Keterangan</x:v>
      </x:c>
      <x:c r="D71" s="8" t="str">
        <x:v>Teks</x:v>
      </x:c>
      <x:c r="E71" s="8" t="str">
        <x:v>Sesuai konteks</x:v>
      </x:c>
      <x:c r="F71" s="8" t="str">
        <x:v>Pengguna</x:v>
      </x:c>
      <x:c r="G71" s="8" t="str">
        <x:v>Alasan wajib untuk koreksi atau pengecualian</x:v>
      </x:c>
      <x:c r="H71" s="8" t="str">
        <x:v>Draf atau dikembalikan; sesudah diajukan baca saja. Revisi setelah posted melalui prosedur koreksi.</x:v>
      </x:c>
    </x:row>
    <x:row r="72" ht="100" customHeight="1">
      <x:c r="A72" s="8" t="str">
        <x:v>F07 Tagihan vendor</x:v>
      </x:c>
      <x:c r="B72" s="8" t="str">
        <x:v>AP</x:v>
      </x:c>
      <x:c r="C72" s="8" t="str">
        <x:v>Lampiran</x:v>
      </x:c>
      <x:c r="D72" s="8" t="str">
        <x:v>Upload dokumen</x:v>
      </x:c>
      <x:c r="E72" s="8" t="str">
        <x:v>Sesuai jenis</x:v>
      </x:c>
      <x:c r="F72" s="8" t="str">
        <x:v>Pengguna</x:v>
      </x:c>
      <x:c r="G72" s="8" t="str">
        <x:v>Jenis/ukuran sesuai konfigurasi; status unggah terlihat</x:v>
      </x:c>
      <x:c r="H72" s="8" t="str">
        <x:v>Draf atau dikembalikan; sesudah diajukan baca saja. Revisi setelah posted melalui prosedur koreksi.</x:v>
      </x:c>
    </x:row>
    <x:row r="73" ht="100" customHeight="1">
      <x:c r="A73" s="8" t="str">
        <x:v>F07 Tagihan vendor</x:v>
      </x:c>
      <x:c r="B73" s="8" t="str">
        <x:v>AP</x:v>
      </x:c>
      <x:c r="C73" s="8" t="str">
        <x:v>Vendor</x:v>
      </x:c>
      <x:c r="D73" s="8" t="str">
        <x:v>Dropdown</x:v>
      </x:c>
      <x:c r="E73" s="8" t="str">
        <x:v>Ya</x:v>
      </x:c>
      <x:c r="F73" s="8" t="str">
        <x:v>Master pihak</x:v>
      </x:c>
      <x:c r="G73" s="8" t="str">
        <x:v>Aktif dan rekening pembayaran diverifikasi sesuai kebijakan</x:v>
      </x:c>
      <x:c r="H73" s="8" t="str">
        <x:v>Draf atau dikembalikan; sesudah diajukan baca saja. Revisi setelah posted melalui prosedur koreksi.</x:v>
      </x:c>
    </x:row>
    <x:row r="74" ht="100" customHeight="1">
      <x:c r="A74" s="8" t="str">
        <x:v>F07 Tagihan vendor</x:v>
      </x:c>
      <x:c r="B74" s="8" t="str">
        <x:v>AP</x:v>
      </x:c>
      <x:c r="C74" s="8" t="str">
        <x:v>Nomor invoice vendor</x:v>
      </x:c>
      <x:c r="D74" s="8" t="str">
        <x:v>Teks</x:v>
      </x:c>
      <x:c r="E74" s="8" t="str">
        <x:v>Ya</x:v>
      </x:c>
      <x:c r="F74" s="8" t="str">
        <x:v>Invoice</x:v>
      </x:c>
      <x:c r="G74" s="8" t="str">
        <x:v>Peringatan/cek duplikat vendor + nomor + konteks</x:v>
      </x:c>
      <x:c r="H74" s="8" t="str">
        <x:v>Draf atau dikembalikan; sesudah diajukan baca saja. Revisi setelah posted melalui prosedur koreksi.</x:v>
      </x:c>
    </x:row>
    <x:row r="75" ht="100" customHeight="1">
      <x:c r="A75" s="8" t="str">
        <x:v>F07 Tagihan vendor</x:v>
      </x:c>
      <x:c r="B75" s="8" t="str">
        <x:v>AP</x:v>
      </x:c>
      <x:c r="C75" s="8" t="str">
        <x:v>Tanggal invoice</x:v>
      </x:c>
      <x:c r="D75" s="8" t="str">
        <x:v>Tanggal</x:v>
      </x:c>
      <x:c r="E75" s="8" t="str">
        <x:v>Ya</x:v>
      </x:c>
      <x:c r="F75" s="8" t="str">
        <x:v>Invoice</x:v>
      </x:c>
      <x:c r="G75" s="8" t="str">
        <x:v>Terpisah dari tanggal pencatatan bila diperlukan</x:v>
      </x:c>
      <x:c r="H75" s="8" t="str">
        <x:v>Draf atau dikembalikan; sesudah diajukan baca saja. Revisi setelah posted melalui prosedur koreksi.</x:v>
      </x:c>
    </x:row>
    <x:row r="76" ht="100" customHeight="1">
      <x:c r="A76" s="8" t="str">
        <x:v>F07 Tagihan vendor</x:v>
      </x:c>
      <x:c r="B76" s="8" t="str">
        <x:v>AP</x:v>
      </x:c>
      <x:c r="C76" s="8" t="str">
        <x:v>Jatuh tempo</x:v>
      </x:c>
      <x:c r="D76" s="8" t="str">
        <x:v>Tanggal</x:v>
      </x:c>
      <x:c r="E76" s="8" t="str">
        <x:v>Ya atau dihitung dari termin</x:v>
      </x:c>
      <x:c r="F76" s="8" t="str">
        <x:v>Termin/vendor</x:v>
      </x:c>
      <x:c r="G76" s="8" t="str">
        <x:v>Terlihat sebelum ajukan pembayaran</x:v>
      </x:c>
      <x:c r="H76" s="8" t="str">
        <x:v>Draf atau dikembalikan; sesudah diajukan baca saja. Revisi setelah posted melalui prosedur koreksi.</x:v>
      </x:c>
    </x:row>
    <x:row r="77" ht="100" customHeight="1">
      <x:c r="A77" s="8" t="str">
        <x:v>F07 Tagihan vendor</x:v>
      </x:c>
      <x:c r="B77" s="8" t="str">
        <x:v>AP</x:v>
      </x:c>
      <x:c r="C77" s="8" t="str">
        <x:v>Jenis tagihan</x:v>
      </x:c>
      <x:c r="D77" s="8" t="str">
        <x:v>Dropdown</x:v>
      </x:c>
      <x:c r="E77" s="8" t="str">
        <x:v>Ya</x:v>
      </x:c>
      <x:c r="F77" s="8" t="str">
        <x:v>Barang; jasa; aset; proyek; lainnya sah</x:v>
      </x:c>
      <x:c r="G77" s="8" t="str">
        <x:v>Tidak memetakan semua biaya ke listrik</x:v>
      </x:c>
      <x:c r="H77" s="8" t="str">
        <x:v>Draf atau dikembalikan; sesudah diajukan baca saja. Revisi setelah posted melalui prosedur koreksi.</x:v>
      </x:c>
    </x:row>
    <x:row r="78" ht="100" customHeight="1">
      <x:c r="A78" s="8" t="str">
        <x:v>F07 Tagihan vendor</x:v>
      </x:c>
      <x:c r="B78" s="8" t="str">
        <x:v>AP</x:v>
      </x:c>
      <x:c r="C78" s="8" t="str">
        <x:v>PO / penerimaan</x:v>
      </x:c>
      <x:c r="D78" s="8" t="str">
        <x:v>Referensi</x:v>
      </x:c>
      <x:c r="E78" s="8" t="str">
        <x:v>Jika berbasis pembelian barang</x:v>
      </x:c>
      <x:c r="F78" s="8" t="str">
        <x:v>Dokumen operasi</x:v>
      </x:c>
      <x:c r="G78" s="8" t="str">
        <x:v>Cocokkan hanya ketika proses membutuhkan, bukan wajib untuk semua jasa</x:v>
      </x:c>
      <x:c r="H78" s="8" t="str">
        <x:v>Draf atau dikembalikan; sesudah diajukan baca saja. Revisi setelah posted melalui prosedur koreksi.</x:v>
      </x:c>
    </x:row>
    <x:row r="79" ht="100" customHeight="1">
      <x:c r="A79" s="8" t="str">
        <x:v>F07 Tagihan vendor</x:v>
      </x:c>
      <x:c r="B79" s="8" t="str">
        <x:v>AP</x:v>
      </x:c>
      <x:c r="C79" s="8" t="str">
        <x:v>Rincian biaya/barang</x:v>
      </x:c>
      <x:c r="D79" s="8" t="str">
        <x:v>Tabel anak</x:v>
      </x:c>
      <x:c r="E79" s="8" t="str">
        <x:v>Ya</x:v>
      </x:c>
      <x:c r="F79" s="8" t="str">
        <x:v>Invoice dan kategori</x:v>
      </x:c>
      <x:c r="G79" s="8" t="str">
        <x:v>Qty/harga/jenis/unit biaya/pajak per baris; S06</x:v>
      </x:c>
      <x:c r="H79" s="8" t="str">
        <x:v>Draf atau dikembalikan; sesudah diajukan baca saja. Revisi setelah posted melalui prosedur koreksi.</x:v>
      </x:c>
    </x:row>
    <x:row r="80" ht="100" customHeight="1">
      <x:c r="A80" s="8" t="str">
        <x:v>F07 Tagihan vendor</x:v>
      </x:c>
      <x:c r="B80" s="8" t="str">
        <x:v>AP</x:v>
      </x:c>
      <x:c r="C80" s="8" t="str">
        <x:v>Pajak dan potongan</x:v>
      </x:c>
      <x:c r="D80" s="8" t="str">
        <x:v>Tabel anak</x:v>
      </x:c>
      <x:c r="E80" s="8" t="str">
        <x:v>Jika relevan</x:v>
      </x:c>
      <x:c r="F80" s="8" t="str">
        <x:v>Aturan/dokumen yang disahkan</x:v>
      </x:c>
      <x:c r="G80" s="8" t="str">
        <x:v>Tidak menetapkan tarif baru di UI</x:v>
      </x:c>
      <x:c r="H80" s="8" t="str">
        <x:v>Draf atau dikembalikan; sesudah diajukan baca saja. Revisi setelah posted melalui prosedur koreksi.</x:v>
      </x:c>
    </x:row>
    <x:row r="81" ht="100" customHeight="1">
      <x:c r="A81" s="8" t="str">
        <x:v>F07 Tagihan vendor</x:v>
      </x:c>
      <x:c r="B81" s="8" t="str">
        <x:v>AP</x:v>
      </x:c>
      <x:c r="C81" s="8" t="str">
        <x:v>Total dan sisa Rp</x:v>
      </x:c>
      <x:c r="D81" s="8" t="str">
        <x:v>Baca saja</x:v>
      </x:c>
      <x:c r="E81" s="8" t="str">
        <x:v>Otomatis</x:v>
      </x:c>
      <x:c r="F81" s="8" t="str">
        <x:v>Baris dan alokasi pembayaran</x:v>
      </x:c>
      <x:c r="G81" s="8" t="str">
        <x:v>Tidak diedit manual</x:v>
      </x:c>
      <x:c r="H81" s="8" t="str">
        <x:v>Draf atau dikembalikan; sesudah diajukan baca saja. Revisi setelah posted melalui prosedur koreksi.</x:v>
      </x:c>
    </x:row>
    <x:row r="82" ht="100" customHeight="1">
      <x:c r="A82" s="8" t="str">
        <x:v>F08 Klaim pengeluaran</x:v>
      </x:c>
      <x:c r="B82" s="8" t="str">
        <x:v>Pengaju / AP</x:v>
      </x:c>
      <x:c r="C82" s="8" t="str">
        <x:v>Nomor dokumen</x:v>
      </x:c>
      <x:c r="D82" s="8" t="str">
        <x:v>Baca saja</x:v>
      </x:c>
      <x:c r="E82" s="8" t="str">
        <x:v>Otomatis</x:v>
      </x:c>
      <x:c r="F82" s="8" t="str">
        <x:v>Sistem</x:v>
      </x:c>
      <x:c r="G82" s="8" t="str">
        <x:v>Tetap satu ID; versi berubah jika revisi</x:v>
      </x:c>
      <x:c r="H82" s="8" t="str">
        <x:v>Draf atau dikembalikan; sesudah diajukan baca saja. Revisi setelah posted melalui prosedur koreksi.</x:v>
      </x:c>
    </x:row>
    <x:row r="83" ht="100" customHeight="1">
      <x:c r="A83" s="8" t="str">
        <x:v>F08 Klaim pengeluaran</x:v>
      </x:c>
      <x:c r="B83" s="8" t="str">
        <x:v>Pengaju / AP</x:v>
      </x:c>
      <x:c r="C83" s="8" t="str">
        <x:v>Unit</x:v>
      </x:c>
      <x:c r="D83" s="8" t="str">
        <x:v>Dropdown</x:v>
      </x:c>
      <x:c r="E83" s="8" t="str">
        <x:v>Ya</x:v>
      </x:c>
      <x:c r="F83" s="8" t="str">
        <x:v>Unit yang boleh diakses</x:v>
      </x:c>
      <x:c r="G83" s="8" t="str">
        <x:v>Akun, pihak dan transaksi sesuai unit</x:v>
      </x:c>
      <x:c r="H83" s="8" t="str">
        <x:v>Draf atau dikembalikan; sesudah diajukan baca saja. Revisi setelah posted melalui prosedur koreksi.</x:v>
      </x:c>
    </x:row>
    <x:row r="84" ht="100" customHeight="1">
      <x:c r="A84" s="8" t="str">
        <x:v>F08 Klaim pengeluaran</x:v>
      </x:c>
      <x:c r="B84" s="8" t="str">
        <x:v>Pengaju / AP</x:v>
      </x:c>
      <x:c r="C84" s="8" t="str">
        <x:v>Tanggal transaksi</x:v>
      </x:c>
      <x:c r="D84" s="8" t="str">
        <x:v>Tanggal</x:v>
      </x:c>
      <x:c r="E84" s="8" t="str">
        <x:v>Ya</x:v>
      </x:c>
      <x:c r="F84" s="8" t="str">
        <x:v>Pengguna</x:v>
      </x:c>
      <x:c r="G84" s="8" t="str">
        <x:v>Periode harus terbuka untuk posting baru</x:v>
      </x:c>
      <x:c r="H84" s="8" t="str">
        <x:v>Draf atau dikembalikan; sesudah diajukan baca saja. Revisi setelah posted melalui prosedur koreksi.</x:v>
      </x:c>
    </x:row>
    <x:row r="85" ht="100" customHeight="1">
      <x:c r="A85" s="8" t="str">
        <x:v>F08 Klaim pengeluaran</x:v>
      </x:c>
      <x:c r="B85" s="8" t="str">
        <x:v>Pengaju / AP</x:v>
      </x:c>
      <x:c r="C85" s="8" t="str">
        <x:v>Keterangan</x:v>
      </x:c>
      <x:c r="D85" s="8" t="str">
        <x:v>Teks</x:v>
      </x:c>
      <x:c r="E85" s="8" t="str">
        <x:v>Sesuai konteks</x:v>
      </x:c>
      <x:c r="F85" s="8" t="str">
        <x:v>Pengguna</x:v>
      </x:c>
      <x:c r="G85" s="8" t="str">
        <x:v>Alasan wajib untuk koreksi atau pengecualian</x:v>
      </x:c>
      <x:c r="H85" s="8" t="str">
        <x:v>Draf atau dikembalikan; sesudah diajukan baca saja. Revisi setelah posted melalui prosedur koreksi.</x:v>
      </x:c>
    </x:row>
    <x:row r="86" ht="100" customHeight="1">
      <x:c r="A86" s="8" t="str">
        <x:v>F08 Klaim pengeluaran</x:v>
      </x:c>
      <x:c r="B86" s="8" t="str">
        <x:v>Pengaju / AP</x:v>
      </x:c>
      <x:c r="C86" s="8" t="str">
        <x:v>Lampiran</x:v>
      </x:c>
      <x:c r="D86" s="8" t="str">
        <x:v>Upload dokumen</x:v>
      </x:c>
      <x:c r="E86" s="8" t="str">
        <x:v>Sesuai jenis</x:v>
      </x:c>
      <x:c r="F86" s="8" t="str">
        <x:v>Pengguna</x:v>
      </x:c>
      <x:c r="G86" s="8" t="str">
        <x:v>Jenis/ukuran sesuai konfigurasi; status unggah terlihat</x:v>
      </x:c>
      <x:c r="H86" s="8" t="str">
        <x:v>Draf atau dikembalikan; sesudah diajukan baca saja. Revisi setelah posted melalui prosedur koreksi.</x:v>
      </x:c>
    </x:row>
    <x:row r="87" ht="100" customHeight="1">
      <x:c r="A87" s="8" t="str">
        <x:v>F08 Klaim pengeluaran</x:v>
      </x:c>
      <x:c r="B87" s="8" t="str">
        <x:v>Pengaju / AP</x:v>
      </x:c>
      <x:c r="C87" s="8" t="str">
        <x:v>Pengaju/penerima penggantian</x:v>
      </x:c>
      <x:c r="D87" s="8" t="str">
        <x:v>Referensi</x:v>
      </x:c>
      <x:c r="E87" s="8" t="str">
        <x:v>Ya</x:v>
      </x:c>
      <x:c r="F87" s="8" t="str">
        <x:v>Pegawai/pihak berizin</x:v>
      </x:c>
      <x:c r="G87" s="8" t="str">
        <x:v>Sesuai unit dan hak</x:v>
      </x:c>
      <x:c r="H87" s="8" t="str">
        <x:v>Draf atau dikembalikan; sesudah diajukan baca saja. Revisi setelah posted melalui prosedur koreksi.</x:v>
      </x:c>
    </x:row>
    <x:row r="88" ht="100" customHeight="1">
      <x:c r="A88" s="8" t="str">
        <x:v>F08 Klaim pengeluaran</x:v>
      </x:c>
      <x:c r="B88" s="8" t="str">
        <x:v>Pengaju / AP</x:v>
      </x:c>
      <x:c r="C88" s="8" t="str">
        <x:v>Keperluan</x:v>
      </x:c>
      <x:c r="D88" s="8" t="str">
        <x:v>Teks</x:v>
      </x:c>
      <x:c r="E88" s="8" t="str">
        <x:v>Ya</x:v>
      </x:c>
      <x:c r="F88" s="8" t="str">
        <x:v>Pengaju</x:v>
      </x:c>
      <x:c r="G88" s="8" t="str">
        <x:v>Dasar pengeluaran dapat ditinjau</x:v>
      </x:c>
      <x:c r="H88" s="8" t="str">
        <x:v>Draf atau dikembalikan; sesudah diajukan baca saja. Revisi setelah posted melalui prosedur koreksi.</x:v>
      </x:c>
    </x:row>
    <x:row r="89" ht="100" customHeight="1">
      <x:c r="A89" s="8" t="str">
        <x:v>F08 Klaim pengeluaran</x:v>
      </x:c>
      <x:c r="B89" s="8" t="str">
        <x:v>Pengaju / AP</x:v>
      </x:c>
      <x:c r="C89" s="8" t="str">
        <x:v>Rincian bukti</x:v>
      </x:c>
      <x:c r="D89" s="8" t="str">
        <x:v>Tabel anak</x:v>
      </x:c>
      <x:c r="E89" s="8" t="str">
        <x:v>Ya</x:v>
      </x:c>
      <x:c r="F89" s="8" t="str">
        <x:v>Nota/kuitansi</x:v>
      </x:c>
      <x:c r="G89" s="8" t="str">
        <x:v>Setiap baris punya tanggal, kategori, nilai dan bukti</x:v>
      </x:c>
      <x:c r="H89" s="8" t="str">
        <x:v>Draf atau dikembalikan; sesudah diajukan baca saja. Revisi setelah posted melalui prosedur koreksi.</x:v>
      </x:c>
    </x:row>
    <x:row r="90" ht="100" customHeight="1">
      <x:c r="A90" s="8" t="str">
        <x:v>F08 Klaim pengeluaran</x:v>
      </x:c>
      <x:c r="B90" s="8" t="str">
        <x:v>Pengaju / AP</x:v>
      </x:c>
      <x:c r="C90" s="8" t="str">
        <x:v>Sumber uang muka</x:v>
      </x:c>
      <x:c r="D90" s="8" t="str">
        <x:v>Referensi</x:v>
      </x:c>
      <x:c r="E90" s="8" t="str">
        <x:v>Jika menggunakan uang muka</x:v>
      </x:c>
      <x:c r="F90" s="8" t="str">
        <x:v>ADV</x:v>
      </x:c>
      <x:c r="G90" s="8" t="str">
        <x:v>Arahkan ke pertanggungjawaban; jangan klaim biaya sama dua kali</x:v>
      </x:c>
      <x:c r="H90" s="8" t="str">
        <x:v>Draf atau dikembalikan; sesudah diajukan baca saja. Revisi setelah posted melalui prosedur koreksi.</x:v>
      </x:c>
    </x:row>
    <x:row r="91" ht="100" customHeight="1">
      <x:c r="A91" s="8" t="str">
        <x:v>F08 Klaim pengeluaran</x:v>
      </x:c>
      <x:c r="B91" s="8" t="str">
        <x:v>Pengaju / AP</x:v>
      </x:c>
      <x:c r="C91" s="8" t="str">
        <x:v>Total klaim Rp</x:v>
      </x:c>
      <x:c r="D91" s="8" t="str">
        <x:v>Baca saja</x:v>
      </x:c>
      <x:c r="E91" s="8" t="str">
        <x:v>Otomatis</x:v>
      </x:c>
      <x:c r="F91" s="8" t="str">
        <x:v>Rincian</x:v>
      </x:c>
      <x:c r="G91" s="8" t="str">
        <x:v>Sesuai bukti dan potongan terkait</x:v>
      </x:c>
      <x:c r="H91" s="8" t="str">
        <x:v>Draf atau dikembalikan; sesudah diajukan baca saja. Revisi setelah posted melalui prosedur koreksi.</x:v>
      </x:c>
    </x:row>
    <x:row r="92" ht="100" customHeight="1">
      <x:c r="A92" s="8" t="str">
        <x:v>F09 Uang muka operasional</x:v>
      </x:c>
      <x:c r="B92" s="8" t="str">
        <x:v>Pengaju / AP</x:v>
      </x:c>
      <x:c r="C92" s="8" t="str">
        <x:v>Nomor dokumen</x:v>
      </x:c>
      <x:c r="D92" s="8" t="str">
        <x:v>Baca saja</x:v>
      </x:c>
      <x:c r="E92" s="8" t="str">
        <x:v>Otomatis</x:v>
      </x:c>
      <x:c r="F92" s="8" t="str">
        <x:v>Sistem</x:v>
      </x:c>
      <x:c r="G92" s="8" t="str">
        <x:v>Tetap satu ID; versi berubah jika revisi</x:v>
      </x:c>
      <x:c r="H92" s="8" t="str">
        <x:v>Draf atau dikembalikan; sesudah diajukan baca saja. Revisi setelah posted melalui prosedur koreksi.</x:v>
      </x:c>
    </x:row>
    <x:row r="93" ht="100" customHeight="1">
      <x:c r="A93" s="8" t="str">
        <x:v>F09 Uang muka operasional</x:v>
      </x:c>
      <x:c r="B93" s="8" t="str">
        <x:v>Pengaju / AP</x:v>
      </x:c>
      <x:c r="C93" s="8" t="str">
        <x:v>Unit</x:v>
      </x:c>
      <x:c r="D93" s="8" t="str">
        <x:v>Dropdown</x:v>
      </x:c>
      <x:c r="E93" s="8" t="str">
        <x:v>Ya</x:v>
      </x:c>
      <x:c r="F93" s="8" t="str">
        <x:v>Unit yang boleh diakses</x:v>
      </x:c>
      <x:c r="G93" s="8" t="str">
        <x:v>Akun, pihak dan transaksi sesuai unit</x:v>
      </x:c>
      <x:c r="H93" s="8" t="str">
        <x:v>Draf atau dikembalikan; sesudah diajukan baca saja. Revisi setelah posted melalui prosedur koreksi.</x:v>
      </x:c>
    </x:row>
    <x:row r="94" ht="100" customHeight="1">
      <x:c r="A94" s="8" t="str">
        <x:v>F09 Uang muka operasional</x:v>
      </x:c>
      <x:c r="B94" s="8" t="str">
        <x:v>Pengaju / AP</x:v>
      </x:c>
      <x:c r="C94" s="8" t="str">
        <x:v>Tanggal transaksi</x:v>
      </x:c>
      <x:c r="D94" s="8" t="str">
        <x:v>Tanggal</x:v>
      </x:c>
      <x:c r="E94" s="8" t="str">
        <x:v>Ya</x:v>
      </x:c>
      <x:c r="F94" s="8" t="str">
        <x:v>Pengguna</x:v>
      </x:c>
      <x:c r="G94" s="8" t="str">
        <x:v>Periode harus terbuka untuk posting baru</x:v>
      </x:c>
      <x:c r="H94" s="8" t="str">
        <x:v>Draf atau dikembalikan; sesudah diajukan baca saja. Revisi setelah posted melalui prosedur koreksi.</x:v>
      </x:c>
    </x:row>
    <x:row r="95" ht="100" customHeight="1">
      <x:c r="A95" s="8" t="str">
        <x:v>F09 Uang muka operasional</x:v>
      </x:c>
      <x:c r="B95" s="8" t="str">
        <x:v>Pengaju / AP</x:v>
      </x:c>
      <x:c r="C95" s="8" t="str">
        <x:v>Keterangan</x:v>
      </x:c>
      <x:c r="D95" s="8" t="str">
        <x:v>Teks</x:v>
      </x:c>
      <x:c r="E95" s="8" t="str">
        <x:v>Sesuai konteks</x:v>
      </x:c>
      <x:c r="F95" s="8" t="str">
        <x:v>Pengguna</x:v>
      </x:c>
      <x:c r="G95" s="8" t="str">
        <x:v>Alasan wajib untuk koreksi atau pengecualian</x:v>
      </x:c>
      <x:c r="H95" s="8" t="str">
        <x:v>Draf atau dikembalikan; sesudah diajukan baca saja. Revisi setelah posted melalui prosedur koreksi.</x:v>
      </x:c>
    </x:row>
    <x:row r="96" ht="100" customHeight="1">
      <x:c r="A96" s="8" t="str">
        <x:v>F09 Uang muka operasional</x:v>
      </x:c>
      <x:c r="B96" s="8" t="str">
        <x:v>Pengaju / AP</x:v>
      </x:c>
      <x:c r="C96" s="8" t="str">
        <x:v>Lampiran</x:v>
      </x:c>
      <x:c r="D96" s="8" t="str">
        <x:v>Upload dokumen</x:v>
      </x:c>
      <x:c r="E96" s="8" t="str">
        <x:v>Sesuai jenis</x:v>
      </x:c>
      <x:c r="F96" s="8" t="str">
        <x:v>Pengguna</x:v>
      </x:c>
      <x:c r="G96" s="8" t="str">
        <x:v>Jenis/ukuran sesuai konfigurasi; status unggah terlihat</x:v>
      </x:c>
      <x:c r="H96" s="8" t="str">
        <x:v>Draf atau dikembalikan; sesudah diajukan baca saja. Revisi setelah posted melalui prosedur koreksi.</x:v>
      </x:c>
    </x:row>
    <x:row r="97" ht="100" customHeight="1">
      <x:c r="A97" s="8" t="str">
        <x:v>F09 Uang muka operasional</x:v>
      </x:c>
      <x:c r="B97" s="8" t="str">
        <x:v>Pengaju / AP</x:v>
      </x:c>
      <x:c r="C97" s="8" t="str">
        <x:v>Pemegang uang muka</x:v>
      </x:c>
      <x:c r="D97" s="8" t="str">
        <x:v>Referensi</x:v>
      </x:c>
      <x:c r="E97" s="8" t="str">
        <x:v>Ya</x:v>
      </x:c>
      <x:c r="F97" s="8" t="str">
        <x:v>Pegawai/pihak berizin</x:v>
      </x:c>
      <x:c r="G97" s="8" t="str">
        <x:v>Berbeda dari pinjaman pegawai jika tujuan operasional</x:v>
      </x:c>
      <x:c r="H97" s="8" t="str">
        <x:v>Draf atau dikembalikan; sesudah diajukan baca saja. Revisi setelah posted melalui prosedur koreksi.</x:v>
      </x:c>
    </x:row>
    <x:row r="98" ht="100" customHeight="1">
      <x:c r="A98" s="8" t="str">
        <x:v>F09 Uang muka operasional</x:v>
      </x:c>
      <x:c r="B98" s="8" t="str">
        <x:v>Pengaju / AP</x:v>
      </x:c>
      <x:c r="C98" s="8" t="str">
        <x:v>Tujuan</x:v>
      </x:c>
      <x:c r="D98" s="8" t="str">
        <x:v>Teks</x:v>
      </x:c>
      <x:c r="E98" s="8" t="str">
        <x:v>Ya</x:v>
      </x:c>
      <x:c r="F98" s="8" t="str">
        <x:v>Pengaju</x:v>
      </x:c>
      <x:c r="G98" s="8" t="str">
        <x:v>Menjadi dasar persetujuan</x:v>
      </x:c>
      <x:c r="H98" s="8" t="str">
        <x:v>Draf atau dikembalikan; sesudah diajukan baca saja. Revisi setelah posted melalui prosedur koreksi.</x:v>
      </x:c>
    </x:row>
    <x:row r="99" ht="100" customHeight="1">
      <x:c r="A99" s="8" t="str">
        <x:v>F09 Uang muka operasional</x:v>
      </x:c>
      <x:c r="B99" s="8" t="str">
        <x:v>Pengaju / AP</x:v>
      </x:c>
      <x:c r="C99" s="8" t="str">
        <x:v>Nominal diminta Rp</x:v>
      </x:c>
      <x:c r="D99" s="8" t="str">
        <x:v>Nominal</x:v>
      </x:c>
      <x:c r="E99" s="8" t="str">
        <x:v>Ya</x:v>
      </x:c>
      <x:c r="F99" s="8" t="str">
        <x:v>Pengaju</x:v>
      </x:c>
      <x:c r="G99" s="8" t="str">
        <x:v>Positif</x:v>
      </x:c>
      <x:c r="H99" s="8" t="str">
        <x:v>Draf atau dikembalikan; sesudah diajukan baca saja. Revisi setelah posted melalui prosedur koreksi.</x:v>
      </x:c>
    </x:row>
    <x:row r="100" ht="100" customHeight="1">
      <x:c r="A100" s="8" t="str">
        <x:v>F09 Uang muka operasional</x:v>
      </x:c>
      <x:c r="B100" s="8" t="str">
        <x:v>Pengaju / AP</x:v>
      </x:c>
      <x:c r="C100" s="8" t="str">
        <x:v>Batas pertanggungjawaban</x:v>
      </x:c>
      <x:c r="D100" s="8" t="str">
        <x:v>Tanggal</x:v>
      </x:c>
      <x:c r="E100" s="8" t="str">
        <x:v>Sesuai kebijakan</x:v>
      </x:c>
      <x:c r="F100" s="8" t="str">
        <x:v>Pemilik proses</x:v>
      </x:c>
      <x:c r="G100" s="8" t="str">
        <x:v>Tenggat terlihat di antrean</x:v>
      </x:c>
      <x:c r="H100" s="8" t="str">
        <x:v>Draf atau dikembalikan; sesudah diajukan baca saja. Revisi setelah posted melalui prosedur koreksi.</x:v>
      </x:c>
    </x:row>
    <x:row r="101" ht="100" customHeight="1">
      <x:c r="A101" s="8" t="str">
        <x:v>F09 Uang muka operasional</x:v>
      </x:c>
      <x:c r="B101" s="8" t="str">
        <x:v>Pengaju / AP</x:v>
      </x:c>
      <x:c r="C101" s="8" t="str">
        <x:v>Sumber pembayaran</x:v>
      </x:c>
      <x:c r="D101" s="8" t="str">
        <x:v>Referensi</x:v>
      </x:c>
      <x:c r="E101" s="8" t="str">
        <x:v>Sesudah disiapkan</x:v>
      </x:c>
      <x:c r="F101" s="8" t="str">
        <x:v>F02</x:v>
      </x:c>
      <x:c r="G101" s="8" t="str">
        <x:v>Satu payment untuk pencairan; tidak input status dibayar manual</x:v>
      </x:c>
      <x:c r="H101" s="8" t="str">
        <x:v>Draf atau dikembalikan; sesudah diajukan baca saja. Revisi setelah posted melalui prosedur koreksi.</x:v>
      </x:c>
    </x:row>
    <x:row r="102" ht="100" customHeight="1">
      <x:c r="A102" s="8" t="str">
        <x:v>F10 Pertanggungjawaban uang muka</x:v>
      </x:c>
      <x:c r="B102" s="8" t="str">
        <x:v>Pemegang / AP</x:v>
      </x:c>
      <x:c r="C102" s="8" t="str">
        <x:v>Nomor dokumen</x:v>
      </x:c>
      <x:c r="D102" s="8" t="str">
        <x:v>Baca saja</x:v>
      </x:c>
      <x:c r="E102" s="8" t="str">
        <x:v>Otomatis</x:v>
      </x:c>
      <x:c r="F102" s="8" t="str">
        <x:v>Sistem</x:v>
      </x:c>
      <x:c r="G102" s="8" t="str">
        <x:v>Tetap satu ID; versi berubah jika revisi</x:v>
      </x:c>
      <x:c r="H102" s="8" t="str">
        <x:v>Draf atau dikembalikan; sesudah diajukan baca saja. Revisi setelah posted melalui prosedur koreksi.</x:v>
      </x:c>
    </x:row>
    <x:row r="103" ht="100" customHeight="1">
      <x:c r="A103" s="8" t="str">
        <x:v>F10 Pertanggungjawaban uang muka</x:v>
      </x:c>
      <x:c r="B103" s="8" t="str">
        <x:v>Pemegang / AP</x:v>
      </x:c>
      <x:c r="C103" s="8" t="str">
        <x:v>Unit</x:v>
      </x:c>
      <x:c r="D103" s="8" t="str">
        <x:v>Dropdown</x:v>
      </x:c>
      <x:c r="E103" s="8" t="str">
        <x:v>Ya</x:v>
      </x:c>
      <x:c r="F103" s="8" t="str">
        <x:v>Unit yang boleh diakses</x:v>
      </x:c>
      <x:c r="G103" s="8" t="str">
        <x:v>Akun, pihak dan transaksi sesuai unit</x:v>
      </x:c>
      <x:c r="H103" s="8" t="str">
        <x:v>Draf atau dikembalikan; sesudah diajukan baca saja. Revisi setelah posted melalui prosedur koreksi.</x:v>
      </x:c>
    </x:row>
    <x:row r="104" ht="100" customHeight="1">
      <x:c r="A104" s="8" t="str">
        <x:v>F10 Pertanggungjawaban uang muka</x:v>
      </x:c>
      <x:c r="B104" s="8" t="str">
        <x:v>Pemegang / AP</x:v>
      </x:c>
      <x:c r="C104" s="8" t="str">
        <x:v>Tanggal transaksi</x:v>
      </x:c>
      <x:c r="D104" s="8" t="str">
        <x:v>Tanggal</x:v>
      </x:c>
      <x:c r="E104" s="8" t="str">
        <x:v>Ya</x:v>
      </x:c>
      <x:c r="F104" s="8" t="str">
        <x:v>Pengguna</x:v>
      </x:c>
      <x:c r="G104" s="8" t="str">
        <x:v>Periode harus terbuka untuk posting baru</x:v>
      </x:c>
      <x:c r="H104" s="8" t="str">
        <x:v>Draf atau dikembalikan; sesudah diajukan baca saja. Revisi setelah posted melalui prosedur koreksi.</x:v>
      </x:c>
    </x:row>
    <x:row r="105" ht="100" customHeight="1">
      <x:c r="A105" s="8" t="str">
        <x:v>F10 Pertanggungjawaban uang muka</x:v>
      </x:c>
      <x:c r="B105" s="8" t="str">
        <x:v>Pemegang / AP</x:v>
      </x:c>
      <x:c r="C105" s="8" t="str">
        <x:v>Keterangan</x:v>
      </x:c>
      <x:c r="D105" s="8" t="str">
        <x:v>Teks</x:v>
      </x:c>
      <x:c r="E105" s="8" t="str">
        <x:v>Sesuai konteks</x:v>
      </x:c>
      <x:c r="F105" s="8" t="str">
        <x:v>Pengguna</x:v>
      </x:c>
      <x:c r="G105" s="8" t="str">
        <x:v>Alasan wajib untuk koreksi atau pengecualian</x:v>
      </x:c>
      <x:c r="H105" s="8" t="str">
        <x:v>Draf atau dikembalikan; sesudah diajukan baca saja. Revisi setelah posted melalui prosedur koreksi.</x:v>
      </x:c>
    </x:row>
    <x:row r="106" ht="100" customHeight="1">
      <x:c r="A106" s="8" t="str">
        <x:v>F10 Pertanggungjawaban uang muka</x:v>
      </x:c>
      <x:c r="B106" s="8" t="str">
        <x:v>Pemegang / AP</x:v>
      </x:c>
      <x:c r="C106" s="8" t="str">
        <x:v>Lampiran</x:v>
      </x:c>
      <x:c r="D106" s="8" t="str">
        <x:v>Upload dokumen</x:v>
      </x:c>
      <x:c r="E106" s="8" t="str">
        <x:v>Sesuai jenis</x:v>
      </x:c>
      <x:c r="F106" s="8" t="str">
        <x:v>Pengguna</x:v>
      </x:c>
      <x:c r="G106" s="8" t="str">
        <x:v>Jenis/ukuran sesuai konfigurasi; status unggah terlihat</x:v>
      </x:c>
      <x:c r="H106" s="8" t="str">
        <x:v>Draf atau dikembalikan; sesudah diajukan baca saja. Revisi setelah posted melalui prosedur koreksi.</x:v>
      </x:c>
    </x:row>
    <x:row r="107" ht="100" customHeight="1">
      <x:c r="A107" s="8" t="str">
        <x:v>F10 Pertanggungjawaban uang muka</x:v>
      </x:c>
      <x:c r="B107" s="8" t="str">
        <x:v>Pemegang / AP</x:v>
      </x:c>
      <x:c r="C107" s="8" t="str">
        <x:v>Uang muka sumber</x:v>
      </x:c>
      <x:c r="D107" s="8" t="str">
        <x:v>Referensi</x:v>
      </x:c>
      <x:c r="E107" s="8" t="str">
        <x:v>Ya</x:v>
      </x:c>
      <x:c r="F107" s="8" t="str">
        <x:v>ADV terbuka</x:v>
      </x:c>
      <x:c r="G107" s="8" t="str">
        <x:v>Pemegang/unit sesuai</x:v>
      </x:c>
      <x:c r="H107" s="8" t="str">
        <x:v>Draf atau dikembalikan; sesudah diajukan baca saja. Revisi setelah posted melalui prosedur koreksi.</x:v>
      </x:c>
    </x:row>
    <x:row r="108" ht="100" customHeight="1">
      <x:c r="A108" s="8" t="str">
        <x:v>F10 Pertanggungjawaban uang muka</x:v>
      </x:c>
      <x:c r="B108" s="8" t="str">
        <x:v>Pemegang / AP</x:v>
      </x:c>
      <x:c r="C108" s="8" t="str">
        <x:v>Biaya aktual</x:v>
      </x:c>
      <x:c r="D108" s="8" t="str">
        <x:v>Tabel anak</x:v>
      </x:c>
      <x:c r="E108" s="8" t="str">
        <x:v>Jika ada</x:v>
      </x:c>
      <x:c r="F108" s="8" t="str">
        <x:v>Bukti biaya</x:v>
      </x:c>
      <x:c r="G108" s="8" t="str">
        <x:v>Kategori tiap baris menentukan pencatatan, bukan default housekeeping</x:v>
      </x:c>
      <x:c r="H108" s="8" t="str">
        <x:v>Draf atau dikembalikan; sesudah diajukan baca saja. Revisi setelah posted melalui prosedur koreksi.</x:v>
      </x:c>
    </x:row>
    <x:row r="109" ht="100" customHeight="1">
      <x:c r="A109" s="8" t="str">
        <x:v>F10 Pertanggungjawaban uang muka</x:v>
      </x:c>
      <x:c r="B109" s="8" t="str">
        <x:v>Pemegang / AP</x:v>
      </x:c>
      <x:c r="C109" s="8" t="str">
        <x:v>Pengembalian Rp</x:v>
      </x:c>
      <x:c r="D109" s="8" t="str">
        <x:v>Nominal</x:v>
      </x:c>
      <x:c r="E109" s="8" t="str">
        <x:v>Jika ada sisa dikembalikan</x:v>
      </x:c>
      <x:c r="F109" s="8" t="str">
        <x:v>Bukti penerimaan</x:v>
      </x:c>
      <x:c r="G109" s="8" t="str">
        <x:v>Tertaut F03; tidak hanya mengurangi saldo register</x:v>
      </x:c>
      <x:c r="H109" s="8" t="str">
        <x:v>Draf atau dikembalikan; sesudah diajukan baca saja. Revisi setelah posted melalui prosedur koreksi.</x:v>
      </x:c>
    </x:row>
    <x:row r="110" ht="100" customHeight="1">
      <x:c r="A110" s="8" t="str">
        <x:v>F10 Pertanggungjawaban uang muka</x:v>
      </x:c>
      <x:c r="B110" s="8" t="str">
        <x:v>Pemegang / AP</x:v>
      </x:c>
      <x:c r="C110" s="8" t="str">
        <x:v>Tambahan penggantian Rp</x:v>
      </x:c>
      <x:c r="D110" s="8" t="str">
        <x:v>Baca saja / usulan</x:v>
      </x:c>
      <x:c r="E110" s="8" t="str">
        <x:v>Jika biaya disetujui melebihi uang muka</x:v>
      </x:c>
      <x:c r="F110" s="8" t="str">
        <x:v>Perhitungan</x:v>
      </x:c>
      <x:c r="G110" s="8" t="str">
        <x:v>Tertaut kewajiban dan F02 baru setelah keputusan</x:v>
      </x:c>
      <x:c r="H110" s="8" t="str">
        <x:v>Draf atau dikembalikan; sesudah diajukan baca saja. Revisi setelah posted melalui prosedur koreksi.</x:v>
      </x:c>
    </x:row>
    <x:row r="111" ht="100" customHeight="1">
      <x:c r="A111" s="8" t="str">
        <x:v>F10 Pertanggungjawaban uang muka</x:v>
      </x:c>
      <x:c r="B111" s="8" t="str">
        <x:v>Pemegang / AP</x:v>
      </x:c>
      <x:c r="C111" s="8" t="str">
        <x:v>Sisa yang belum selesai Rp</x:v>
      </x:c>
      <x:c r="D111" s="8" t="str">
        <x:v>Baca saja</x:v>
      </x:c>
      <x:c r="E111" s="8" t="str">
        <x:v>Otomatis</x:v>
      </x:c>
      <x:c r="F111" s="8" t="str">
        <x:v>ADV, biaya disetujui, pengembalian</x:v>
      </x:c>
      <x:c r="G111" s="8" t="str">
        <x:v>Tidak dipaksa nol</x:v>
      </x:c>
      <x:c r="H111" s="8" t="str">
        <x:v>Draf atau dikembalikan; sesudah diajukan baca saja. Revisi setelah posted melalui prosedur koreksi.</x:v>
      </x:c>
    </x:row>
    <x:row r="112" ht="100" customHeight="1">
      <x:c r="A112" s="8" t="str">
        <x:v>F11 Biaya dibayar di muka</x:v>
      </x:c>
      <x:c r="B112" s="8" t="str">
        <x:v>AP / Akuntansi</x:v>
      </x:c>
      <x:c r="C112" s="8" t="str">
        <x:v>Nomor dokumen</x:v>
      </x:c>
      <x:c r="D112" s="8" t="str">
        <x:v>Baca saja</x:v>
      </x:c>
      <x:c r="E112" s="8" t="str">
        <x:v>Otomatis</x:v>
      </x:c>
      <x:c r="F112" s="8" t="str">
        <x:v>Sistem</x:v>
      </x:c>
      <x:c r="G112" s="8" t="str">
        <x:v>Tetap satu ID; versi berubah jika revisi</x:v>
      </x:c>
      <x:c r="H112" s="8" t="str">
        <x:v>Draf atau dikembalikan; sesudah diajukan baca saja. Revisi setelah posted melalui prosedur koreksi.</x:v>
      </x:c>
    </x:row>
    <x:row r="113" ht="100" customHeight="1">
      <x:c r="A113" s="8" t="str">
        <x:v>F11 Biaya dibayar di muka</x:v>
      </x:c>
      <x:c r="B113" s="8" t="str">
        <x:v>AP / Akuntansi</x:v>
      </x:c>
      <x:c r="C113" s="8" t="str">
        <x:v>Unit</x:v>
      </x:c>
      <x:c r="D113" s="8" t="str">
        <x:v>Dropdown</x:v>
      </x:c>
      <x:c r="E113" s="8" t="str">
        <x:v>Ya</x:v>
      </x:c>
      <x:c r="F113" s="8" t="str">
        <x:v>Unit yang boleh diakses</x:v>
      </x:c>
      <x:c r="G113" s="8" t="str">
        <x:v>Akun, pihak dan transaksi sesuai unit</x:v>
      </x:c>
      <x:c r="H113" s="8" t="str">
        <x:v>Draf atau dikembalikan; sesudah diajukan baca saja. Revisi setelah posted melalui prosedur koreksi.</x:v>
      </x:c>
    </x:row>
    <x:row r="114" ht="100" customHeight="1">
      <x:c r="A114" s="8" t="str">
        <x:v>F11 Biaya dibayar di muka</x:v>
      </x:c>
      <x:c r="B114" s="8" t="str">
        <x:v>AP / Akuntansi</x:v>
      </x:c>
      <x:c r="C114" s="8" t="str">
        <x:v>Tanggal transaksi</x:v>
      </x:c>
      <x:c r="D114" s="8" t="str">
        <x:v>Tanggal</x:v>
      </x:c>
      <x:c r="E114" s="8" t="str">
        <x:v>Ya</x:v>
      </x:c>
      <x:c r="F114" s="8" t="str">
        <x:v>Pengguna</x:v>
      </x:c>
      <x:c r="G114" s="8" t="str">
        <x:v>Periode harus terbuka untuk posting baru</x:v>
      </x:c>
      <x:c r="H114" s="8" t="str">
        <x:v>Draf atau dikembalikan; sesudah diajukan baca saja. Revisi setelah posted melalui prosedur koreksi.</x:v>
      </x:c>
    </x:row>
    <x:row r="115" ht="100" customHeight="1">
      <x:c r="A115" s="8" t="str">
        <x:v>F11 Biaya dibayar di muka</x:v>
      </x:c>
      <x:c r="B115" s="8" t="str">
        <x:v>AP / Akuntansi</x:v>
      </x:c>
      <x:c r="C115" s="8" t="str">
        <x:v>Keterangan</x:v>
      </x:c>
      <x:c r="D115" s="8" t="str">
        <x:v>Teks</x:v>
      </x:c>
      <x:c r="E115" s="8" t="str">
        <x:v>Sesuai konteks</x:v>
      </x:c>
      <x:c r="F115" s="8" t="str">
        <x:v>Pengguna</x:v>
      </x:c>
      <x:c r="G115" s="8" t="str">
        <x:v>Alasan wajib untuk koreksi atau pengecualian</x:v>
      </x:c>
      <x:c r="H115" s="8" t="str">
        <x:v>Draf atau dikembalikan; sesudah diajukan baca saja. Revisi setelah posted melalui prosedur koreksi.</x:v>
      </x:c>
    </x:row>
    <x:row r="116" ht="100" customHeight="1">
      <x:c r="A116" s="8" t="str">
        <x:v>F11 Biaya dibayar di muka</x:v>
      </x:c>
      <x:c r="B116" s="8" t="str">
        <x:v>AP / Akuntansi</x:v>
      </x:c>
      <x:c r="C116" s="8" t="str">
        <x:v>Lampiran</x:v>
      </x:c>
      <x:c r="D116" s="8" t="str">
        <x:v>Upload dokumen</x:v>
      </x:c>
      <x:c r="E116" s="8" t="str">
        <x:v>Sesuai jenis</x:v>
      </x:c>
      <x:c r="F116" s="8" t="str">
        <x:v>Pengguna</x:v>
      </x:c>
      <x:c r="G116" s="8" t="str">
        <x:v>Jenis/ukuran sesuai konfigurasi; status unggah terlihat</x:v>
      </x:c>
      <x:c r="H116" s="8" t="str">
        <x:v>Draf atau dikembalikan; sesudah diajukan baca saja. Revisi setelah posted melalui prosedur koreksi.</x:v>
      </x:c>
    </x:row>
    <x:row r="117" ht="100" customHeight="1">
      <x:c r="A117" s="8" t="str">
        <x:v>F11 Biaya dibayar di muka</x:v>
      </x:c>
      <x:c r="B117" s="8" t="str">
        <x:v>AP / Akuntansi</x:v>
      </x:c>
      <x:c r="C117" s="8" t="str">
        <x:v>Tagihan sumber</x:v>
      </x:c>
      <x:c r="D117" s="8" t="str">
        <x:v>Referensi</x:v>
      </x:c>
      <x:c r="E117" s="8" t="str">
        <x:v>Ya</x:v>
      </x:c>
      <x:c r="F117" s="8" t="str">
        <x:v>BILL disetujui/tercatat</x:v>
      </x:c>
      <x:c r="G117" s="8" t="str">
        <x:v>Tidak membentuk biaya awal kedua</x:v>
      </x:c>
      <x:c r="H117" s="8" t="str">
        <x:v>Draf atau dikembalikan; sesudah diajukan baca saja. Revisi setelah posted melalui prosedur koreksi.</x:v>
      </x:c>
    </x:row>
    <x:row r="118" ht="100" customHeight="1">
      <x:c r="A118" s="8" t="str">
        <x:v>F11 Biaya dibayar di muka</x:v>
      </x:c>
      <x:c r="B118" s="8" t="str">
        <x:v>AP / Akuntansi</x:v>
      </x:c>
      <x:c r="C118" s="8" t="str">
        <x:v>Jenis manfaat</x:v>
      </x:c>
      <x:c r="D118" s="8" t="str">
        <x:v>Dropdown</x:v>
      </x:c>
      <x:c r="E118" s="8" t="str">
        <x:v>Ya</x:v>
      </x:c>
      <x:c r="F118" s="8" t="str">
        <x:v>Sewa; asuransi; lainnya disahkan</x:v>
      </x:c>
      <x:c r="G118" s="8" t="str">
        <x:v>Kelas/jadwal tidak selalu sewa</x:v>
      </x:c>
      <x:c r="H118" s="8" t="str">
        <x:v>Draf atau dikembalikan; sesudah diajukan baca saja. Revisi setelah posted melalui prosedur koreksi.</x:v>
      </x:c>
    </x:row>
    <x:row r="119" ht="100" customHeight="1">
      <x:c r="A119" s="8" t="str">
        <x:v>F11 Biaya dibayar di muka</x:v>
      </x:c>
      <x:c r="B119" s="8" t="str">
        <x:v>AP / Akuntansi</x:v>
      </x:c>
      <x:c r="C119" s="8" t="str">
        <x:v>Mulai manfaat</x:v>
      </x:c>
      <x:c r="D119" s="8" t="str">
        <x:v>Tanggal</x:v>
      </x:c>
      <x:c r="E119" s="8" t="str">
        <x:v>Ya</x:v>
      </x:c>
      <x:c r="F119" s="8" t="str">
        <x:v>Kontrak</x:v>
      </x:c>
      <x:c r="G119" s="8" t="str">
        <x:v>Tidak ambigu dengan tanggal bayar</x:v>
      </x:c>
      <x:c r="H119" s="8" t="str">
        <x:v>Draf atau dikembalikan; sesudah diajukan baca saja. Revisi setelah posted melalui prosedur koreksi.</x:v>
      </x:c>
    </x:row>
    <x:row r="120" ht="100" customHeight="1">
      <x:c r="A120" s="8" t="str">
        <x:v>F11 Biaya dibayar di muka</x:v>
      </x:c>
      <x:c r="B120" s="8" t="str">
        <x:v>AP / Akuntansi</x:v>
      </x:c>
      <x:c r="C120" s="8" t="str">
        <x:v>Akhir manfaat</x:v>
      </x:c>
      <x:c r="D120" s="8" t="str">
        <x:v>Tanggal</x:v>
      </x:c>
      <x:c r="E120" s="8" t="str">
        <x:v>Ya</x:v>
      </x:c>
      <x:c r="F120" s="8" t="str">
        <x:v>Kontrak</x:v>
      </x:c>
      <x:c r="G120" s="8" t="str">
        <x:v>Sesudah/sama mulai sesuai kebijakan</x:v>
      </x:c>
      <x:c r="H120" s="8" t="str">
        <x:v>Draf atau dikembalikan; sesudah diajukan baca saja. Revisi setelah posted melalui prosedur koreksi.</x:v>
      </x:c>
    </x:row>
    <x:row r="121" ht="100" customHeight="1">
      <x:c r="A121" s="8" t="str">
        <x:v>F11 Biaya dibayar di muka</x:v>
      </x:c>
      <x:c r="B121" s="8" t="str">
        <x:v>AP / Akuntansi</x:v>
      </x:c>
      <x:c r="C121" s="8" t="str">
        <x:v>Dasar yang dialokasikan Rp</x:v>
      </x:c>
      <x:c r="D121" s="8" t="str">
        <x:v>Nominal sumber</x:v>
      </x:c>
      <x:c r="E121" s="8" t="str">
        <x:v>Ya</x:v>
      </x:c>
      <x:c r="F121" s="8" t="str">
        <x:v>Baris tagihan</x:v>
      </x:c>
      <x:c r="G121" s="8" t="str">
        <x:v>Tidak melebihi nilai belum dialokasikan</x:v>
      </x:c>
      <x:c r="H121" s="8" t="str">
        <x:v>Draf atau dikembalikan; sesudah diajukan baca saja. Revisi setelah posted melalui prosedur koreksi.</x:v>
      </x:c>
    </x:row>
    <x:row r="122" ht="100" customHeight="1">
      <x:c r="A122" s="8" t="str">
        <x:v>F11 Biaya dibayar di muka</x:v>
      </x:c>
      <x:c r="B122" s="8" t="str">
        <x:v>AP / Akuntansi</x:v>
      </x:c>
      <x:c r="C122" s="8" t="str">
        <x:v>Metode/jadwal</x:v>
      </x:c>
      <x:c r="D122" s="8" t="str">
        <x:v>Dropdown + pratinjau</x:v>
      </x:c>
      <x:c r="E122" s="8" t="str">
        <x:v>Ya</x:v>
      </x:c>
      <x:c r="F122" s="8" t="str">
        <x:v>Kebijakan berlaku</x:v>
      </x:c>
      <x:c r="G122" s="8" t="str">
        <x:v>Total alokasi tidak melebihi dasar; sisa terjelaskan</x:v>
      </x:c>
      <x:c r="H122" s="8" t="str">
        <x:v>Draf atau dikembalikan; sesudah diajukan baca saja. Revisi setelah posted melalui prosedur koreksi.</x:v>
      </x:c>
    </x:row>
    <x:row r="123" ht="100" customHeight="1">
      <x:c r="A123" s="8" t="str">
        <x:v>F12 Tagihan pelanggan / nota kredit</x:v>
      </x:c>
      <x:c r="B123" s="8" t="str">
        <x:v>AR</x:v>
      </x:c>
      <x:c r="C123" s="8" t="str">
        <x:v>Nomor dokumen</x:v>
      </x:c>
      <x:c r="D123" s="8" t="str">
        <x:v>Baca saja</x:v>
      </x:c>
      <x:c r="E123" s="8" t="str">
        <x:v>Otomatis</x:v>
      </x:c>
      <x:c r="F123" s="8" t="str">
        <x:v>Sistem</x:v>
      </x:c>
      <x:c r="G123" s="8" t="str">
        <x:v>Tetap satu ID; versi berubah jika revisi</x:v>
      </x:c>
      <x:c r="H123" s="8" t="str">
        <x:v>Draf atau dikembalikan; sesudah diajukan baca saja. Revisi setelah posted melalui prosedur koreksi.</x:v>
      </x:c>
    </x:row>
    <x:row r="124" ht="100" customHeight="1">
      <x:c r="A124" s="8" t="str">
        <x:v>F12 Tagihan pelanggan / nota kredit</x:v>
      </x:c>
      <x:c r="B124" s="8" t="str">
        <x:v>AR</x:v>
      </x:c>
      <x:c r="C124" s="8" t="str">
        <x:v>Unit</x:v>
      </x:c>
      <x:c r="D124" s="8" t="str">
        <x:v>Dropdown</x:v>
      </x:c>
      <x:c r="E124" s="8" t="str">
        <x:v>Ya</x:v>
      </x:c>
      <x:c r="F124" s="8" t="str">
        <x:v>Unit yang boleh diakses</x:v>
      </x:c>
      <x:c r="G124" s="8" t="str">
        <x:v>Akun, pihak dan transaksi sesuai unit</x:v>
      </x:c>
      <x:c r="H124" s="8" t="str">
        <x:v>Draf atau dikembalikan; sesudah diajukan baca saja. Revisi setelah posted melalui prosedur koreksi.</x:v>
      </x:c>
    </x:row>
    <x:row r="125" ht="100" customHeight="1">
      <x:c r="A125" s="8" t="str">
        <x:v>F12 Tagihan pelanggan / nota kredit</x:v>
      </x:c>
      <x:c r="B125" s="8" t="str">
        <x:v>AR</x:v>
      </x:c>
      <x:c r="C125" s="8" t="str">
        <x:v>Tanggal transaksi</x:v>
      </x:c>
      <x:c r="D125" s="8" t="str">
        <x:v>Tanggal</x:v>
      </x:c>
      <x:c r="E125" s="8" t="str">
        <x:v>Ya</x:v>
      </x:c>
      <x:c r="F125" s="8" t="str">
        <x:v>Pengguna</x:v>
      </x:c>
      <x:c r="G125" s="8" t="str">
        <x:v>Periode harus terbuka untuk posting baru</x:v>
      </x:c>
      <x:c r="H125" s="8" t="str">
        <x:v>Draf atau dikembalikan; sesudah diajukan baca saja. Revisi setelah posted melalui prosedur koreksi.</x:v>
      </x:c>
    </x:row>
    <x:row r="126" ht="100" customHeight="1">
      <x:c r="A126" s="8" t="str">
        <x:v>F12 Tagihan pelanggan / nota kredit</x:v>
      </x:c>
      <x:c r="B126" s="8" t="str">
        <x:v>AR</x:v>
      </x:c>
      <x:c r="C126" s="8" t="str">
        <x:v>Keterangan</x:v>
      </x:c>
      <x:c r="D126" s="8" t="str">
        <x:v>Teks</x:v>
      </x:c>
      <x:c r="E126" s="8" t="str">
        <x:v>Sesuai konteks</x:v>
      </x:c>
      <x:c r="F126" s="8" t="str">
        <x:v>Pengguna</x:v>
      </x:c>
      <x:c r="G126" s="8" t="str">
        <x:v>Alasan wajib untuk koreksi atau pengecualian</x:v>
      </x:c>
      <x:c r="H126" s="8" t="str">
        <x:v>Draf atau dikembalikan; sesudah diajukan baca saja. Revisi setelah posted melalui prosedur koreksi.</x:v>
      </x:c>
    </x:row>
    <x:row r="127" ht="100" customHeight="1">
      <x:c r="A127" s="8" t="str">
        <x:v>F12 Tagihan pelanggan / nota kredit</x:v>
      </x:c>
      <x:c r="B127" s="8" t="str">
        <x:v>AR</x:v>
      </x:c>
      <x:c r="C127" s="8" t="str">
        <x:v>Lampiran</x:v>
      </x:c>
      <x:c r="D127" s="8" t="str">
        <x:v>Upload dokumen</x:v>
      </x:c>
      <x:c r="E127" s="8" t="str">
        <x:v>Sesuai jenis</x:v>
      </x:c>
      <x:c r="F127" s="8" t="str">
        <x:v>Pengguna</x:v>
      </x:c>
      <x:c r="G127" s="8" t="str">
        <x:v>Jenis/ukuran sesuai konfigurasi; status unggah terlihat</x:v>
      </x:c>
      <x:c r="H127" s="8" t="str">
        <x:v>Draf atau dikembalikan; sesudah diajukan baca saja. Revisi setelah posted melalui prosedur koreksi.</x:v>
      </x:c>
    </x:row>
    <x:row r="128" ht="100" customHeight="1">
      <x:c r="A128" s="8" t="str">
        <x:v>F12 Tagihan pelanggan / nota kredit</x:v>
      </x:c>
      <x:c r="B128" s="8" t="str">
        <x:v>AR</x:v>
      </x:c>
      <x:c r="C128" s="8" t="str">
        <x:v>Pelanggan</x:v>
      </x:c>
      <x:c r="D128" s="8" t="str">
        <x:v>Dropdown</x:v>
      </x:c>
      <x:c r="E128" s="8" t="str">
        <x:v>Ya</x:v>
      </x:c>
      <x:c r="F128" s="8" t="str">
        <x:v>Master pihak</x:v>
      </x:c>
      <x:c r="G128" s="8" t="str">
        <x:v>Sesuai unit/sumber pendapatan</x:v>
      </x:c>
      <x:c r="H128" s="8" t="str">
        <x:v>Draf atau dikembalikan; sesudah diajukan baca saja. Revisi setelah posted melalui prosedur koreksi.</x:v>
      </x:c>
    </x:row>
    <x:row r="129" ht="100" customHeight="1">
      <x:c r="A129" s="8" t="str">
        <x:v>F12 Tagihan pelanggan / nota kredit</x:v>
      </x:c>
      <x:c r="B129" s="8" t="str">
        <x:v>AR</x:v>
      </x:c>
      <x:c r="C129" s="8" t="str">
        <x:v>Jenis dokumen</x:v>
      </x:c>
      <x:c r="D129" s="8" t="str">
        <x:v>Pilihan</x:v>
      </x:c>
      <x:c r="E129" s="8" t="str">
        <x:v>Ya</x:v>
      </x:c>
      <x:c r="F129" s="8" t="str">
        <x:v>Invoice; nota kredit</x:v>
      </x:c>
      <x:c r="G129" s="8" t="str">
        <x:v>Nota kredit harus merujuk sumber sesuai proses</x:v>
      </x:c>
      <x:c r="H129" s="8" t="str">
        <x:v>Draf atau dikembalikan; sesudah diajukan baca saja. Revisi setelah posted melalui prosedur koreksi.</x:v>
      </x:c>
    </x:row>
    <x:row r="130" ht="100" customHeight="1">
      <x:c r="A130" s="8" t="str">
        <x:v>F12 Tagihan pelanggan / nota kredit</x:v>
      </x:c>
      <x:c r="B130" s="8" t="str">
        <x:v>AR</x:v>
      </x:c>
      <x:c r="C130" s="8" t="str">
        <x:v>Sumber jasa/penjualan</x:v>
      </x:c>
      <x:c r="D130" s="8" t="str">
        <x:v>Referensi</x:v>
      </x:c>
      <x:c r="E130" s="8" t="str">
        <x:v>Ya</x:v>
      </x:c>
      <x:c r="F130" s="8" t="str">
        <x:v>Dokumen bisnis</x:v>
      </x:c>
      <x:c r="G130" s="8" t="str">
        <x:v>Tidak mengakui penjualan yang sama dua kali</x:v>
      </x:c>
      <x:c r="H130" s="8" t="str">
        <x:v>Draf atau dikembalikan; sesudah diajukan baca saja. Revisi setelah posted melalui prosedur koreksi.</x:v>
      </x:c>
    </x:row>
    <x:row r="131" ht="100" customHeight="1">
      <x:c r="A131" s="8" t="str">
        <x:v>F12 Tagihan pelanggan / nota kredit</x:v>
      </x:c>
      <x:c r="B131" s="8" t="str">
        <x:v>AR</x:v>
      </x:c>
      <x:c r="C131" s="8" t="str">
        <x:v>Rincian tagihan</x:v>
      </x:c>
      <x:c r="D131" s="8" t="str">
        <x:v>Tabel anak</x:v>
      </x:c>
      <x:c r="E131" s="8" t="str">
        <x:v>Ya</x:v>
      </x:c>
      <x:c r="F131" s="8" t="str">
        <x:v>Barang/jasa, kuantitas, harga</x:v>
      </x:c>
      <x:c r="G131" s="8" t="str">
        <x:v>Akun pendapatan sesuai jenis; pajak sesuai aturan sah</x:v>
      </x:c>
      <x:c r="H131" s="8" t="str">
        <x:v>Draf atau dikembalikan; sesudah diajukan baca saja. Revisi setelah posted melalui prosedur koreksi.</x:v>
      </x:c>
    </x:row>
    <x:row r="132" ht="100" customHeight="1">
      <x:c r="A132" s="8" t="str">
        <x:v>F12 Tagihan pelanggan / nota kredit</x:v>
      </x:c>
      <x:c r="B132" s="8" t="str">
        <x:v>AR</x:v>
      </x:c>
      <x:c r="C132" s="8" t="str">
        <x:v>Jatuh tempo</x:v>
      </x:c>
      <x:c r="D132" s="8" t="str">
        <x:v>Tanggal</x:v>
      </x:c>
      <x:c r="E132" s="8" t="str">
        <x:v>Untuk invoice</x:v>
      </x:c>
      <x:c r="F132" s="8" t="str">
        <x:v>Termin</x:v>
      </x:c>
      <x:c r="G132" s="8" t="str">
        <x:v>Terlihat di umur piutang</x:v>
      </x:c>
      <x:c r="H132" s="8" t="str">
        <x:v>Draf atau dikembalikan; sesudah diajukan baca saja. Revisi setelah posted melalui prosedur koreksi.</x:v>
      </x:c>
    </x:row>
    <x:row r="133" ht="100" customHeight="1">
      <x:c r="A133" s="8" t="str">
        <x:v>F12 Tagihan pelanggan / nota kredit</x:v>
      </x:c>
      <x:c r="B133" s="8" t="str">
        <x:v>AR</x:v>
      </x:c>
      <x:c r="C133" s="8" t="str">
        <x:v>Dokumen asal kredit</x:v>
      </x:c>
      <x:c r="D133" s="8" t="str">
        <x:v>Referensi</x:v>
      </x:c>
      <x:c r="E133" s="8" t="str">
        <x:v>Untuk nota kredit</x:v>
      </x:c>
      <x:c r="F133" s="8" t="str">
        <x:v>Invoice/retur</x:v>
      </x:c>
      <x:c r="G133" s="8" t="str">
        <x:v>Tidak melebihi bagian yang dapat dikreditkan</x:v>
      </x:c>
      <x:c r="H133" s="8" t="str">
        <x:v>Draf atau dikembalikan; sesudah diajukan baca saja. Revisi setelah posted melalui prosedur koreksi.</x:v>
      </x:c>
    </x:row>
    <x:row r="134" ht="100" customHeight="1">
      <x:c r="A134" s="8" t="str">
        <x:v>F12 Tagihan pelanggan / nota kredit</x:v>
      </x:c>
      <x:c r="B134" s="8" t="str">
        <x:v>AR</x:v>
      </x:c>
      <x:c r="C134" s="8" t="str">
        <x:v>Total Rp</x:v>
      </x:c>
      <x:c r="D134" s="8" t="str">
        <x:v>Baca saja</x:v>
      </x:c>
      <x:c r="E134" s="8" t="str">
        <x:v>Otomatis</x:v>
      </x:c>
      <x:c r="F134" s="8" t="str">
        <x:v>Rincian</x:v>
      </x:c>
      <x:c r="G134" s="8" t="str">
        <x:v>Terpisah dari jumlah diterima</x:v>
      </x:c>
      <x:c r="H134" s="8" t="str">
        <x:v>Draf atau dikembalikan; sesudah diajukan baca saja. Revisi setelah posted melalui prosedur koreksi.</x:v>
      </x:c>
    </x:row>
    <x:row r="135" ht="100" customHeight="1">
      <x:c r="A135" s="8" t="str">
        <x:v>F13 Settlement kanal</x:v>
      </x:c>
      <x:c r="B135" s="8" t="str">
        <x:v>AR / Treasury</x:v>
      </x:c>
      <x:c r="C135" s="8" t="str">
        <x:v>Nomor dokumen</x:v>
      </x:c>
      <x:c r="D135" s="8" t="str">
        <x:v>Baca saja</x:v>
      </x:c>
      <x:c r="E135" s="8" t="str">
        <x:v>Otomatis</x:v>
      </x:c>
      <x:c r="F135" s="8" t="str">
        <x:v>Sistem</x:v>
      </x:c>
      <x:c r="G135" s="8" t="str">
        <x:v>Tetap satu ID; versi berubah jika revisi</x:v>
      </x:c>
      <x:c r="H135" s="8" t="str">
        <x:v>Draf atau dikembalikan; sesudah diajukan baca saja. Revisi setelah posted melalui prosedur koreksi.</x:v>
      </x:c>
    </x:row>
    <x:row r="136" ht="100" customHeight="1">
      <x:c r="A136" s="8" t="str">
        <x:v>F13 Settlement kanal</x:v>
      </x:c>
      <x:c r="B136" s="8" t="str">
        <x:v>AR / Treasury</x:v>
      </x:c>
      <x:c r="C136" s="8" t="str">
        <x:v>Unit</x:v>
      </x:c>
      <x:c r="D136" s="8" t="str">
        <x:v>Dropdown</x:v>
      </x:c>
      <x:c r="E136" s="8" t="str">
        <x:v>Ya</x:v>
      </x:c>
      <x:c r="F136" s="8" t="str">
        <x:v>Unit yang boleh diakses</x:v>
      </x:c>
      <x:c r="G136" s="8" t="str">
        <x:v>Akun, pihak dan transaksi sesuai unit</x:v>
      </x:c>
      <x:c r="H136" s="8" t="str">
        <x:v>Draf atau dikembalikan; sesudah diajukan baca saja. Revisi setelah posted melalui prosedur koreksi.</x:v>
      </x:c>
    </x:row>
    <x:row r="137" ht="100" customHeight="1">
      <x:c r="A137" s="8" t="str">
        <x:v>F13 Settlement kanal</x:v>
      </x:c>
      <x:c r="B137" s="8" t="str">
        <x:v>AR / Treasury</x:v>
      </x:c>
      <x:c r="C137" s="8" t="str">
        <x:v>Tanggal transaksi</x:v>
      </x:c>
      <x:c r="D137" s="8" t="str">
        <x:v>Tanggal</x:v>
      </x:c>
      <x:c r="E137" s="8" t="str">
        <x:v>Ya</x:v>
      </x:c>
      <x:c r="F137" s="8" t="str">
        <x:v>Pengguna</x:v>
      </x:c>
      <x:c r="G137" s="8" t="str">
        <x:v>Periode harus terbuka untuk posting baru</x:v>
      </x:c>
      <x:c r="H137" s="8" t="str">
        <x:v>Draf atau dikembalikan; sesudah diajukan baca saja. Revisi setelah posted melalui prosedur koreksi.</x:v>
      </x:c>
    </x:row>
    <x:row r="138" ht="100" customHeight="1">
      <x:c r="A138" s="8" t="str">
        <x:v>F13 Settlement kanal</x:v>
      </x:c>
      <x:c r="B138" s="8" t="str">
        <x:v>AR / Treasury</x:v>
      </x:c>
      <x:c r="C138" s="8" t="str">
        <x:v>Keterangan</x:v>
      </x:c>
      <x:c r="D138" s="8" t="str">
        <x:v>Teks</x:v>
      </x:c>
      <x:c r="E138" s="8" t="str">
        <x:v>Sesuai konteks</x:v>
      </x:c>
      <x:c r="F138" s="8" t="str">
        <x:v>Pengguna</x:v>
      </x:c>
      <x:c r="G138" s="8" t="str">
        <x:v>Alasan wajib untuk koreksi atau pengecualian</x:v>
      </x:c>
      <x:c r="H138" s="8" t="str">
        <x:v>Draf atau dikembalikan; sesudah diajukan baca saja. Revisi setelah posted melalui prosedur koreksi.</x:v>
      </x:c>
    </x:row>
    <x:row r="139" ht="100" customHeight="1">
      <x:c r="A139" s="8" t="str">
        <x:v>F13 Settlement kanal</x:v>
      </x:c>
      <x:c r="B139" s="8" t="str">
        <x:v>AR / Treasury</x:v>
      </x:c>
      <x:c r="C139" s="8" t="str">
        <x:v>Lampiran</x:v>
      </x:c>
      <x:c r="D139" s="8" t="str">
        <x:v>Upload dokumen</x:v>
      </x:c>
      <x:c r="E139" s="8" t="str">
        <x:v>Sesuai jenis</x:v>
      </x:c>
      <x:c r="F139" s="8" t="str">
        <x:v>Pengguna</x:v>
      </x:c>
      <x:c r="G139" s="8" t="str">
        <x:v>Jenis/ukuran sesuai konfigurasi; status unggah terlihat</x:v>
      </x:c>
      <x:c r="H139" s="8" t="str">
        <x:v>Draf atau dikembalikan; sesudah diajukan baca saja. Revisi setelah posted melalui prosedur koreksi.</x:v>
      </x:c>
    </x:row>
    <x:row r="140" ht="100" customHeight="1">
      <x:c r="A140" s="8" t="str">
        <x:v>F13 Settlement kanal</x:v>
      </x:c>
      <x:c r="B140" s="8" t="str">
        <x:v>AR / Treasury</x:v>
      </x:c>
      <x:c r="C140" s="8" t="str">
        <x:v>Kanal/acquirer</x:v>
      </x:c>
      <x:c r="D140" s="8" t="str">
        <x:v>Dropdown</x:v>
      </x:c>
      <x:c r="E140" s="8" t="str">
        <x:v>Ya</x:v>
      </x:c>
      <x:c r="F140" s="8" t="str">
        <x:v>Master kanal</x:v>
      </x:c>
      <x:c r="G140" s="8" t="str">
        <x:v>Pemetaan unit dan rekening tersedia</x:v>
      </x:c>
      <x:c r="H140" s="8" t="str">
        <x:v>Draf atau dikembalikan; sesudah diajukan baca saja. Revisi setelah posted melalui prosedur koreksi.</x:v>
      </x:c>
    </x:row>
    <x:row r="141" ht="100" customHeight="1">
      <x:c r="A141" s="8" t="str">
        <x:v>F13 Settlement kanal</x:v>
      </x:c>
      <x:c r="B141" s="8" t="str">
        <x:v>AR / Treasury</x:v>
      </x:c>
      <x:c r="C141" s="8" t="str">
        <x:v>Batch/periode statement</x:v>
      </x:c>
      <x:c r="D141" s="8" t="str">
        <x:v>Referensi / tanggal</x:v>
      </x:c>
      <x:c r="E141" s="8" t="str">
        <x:v>Ya</x:v>
      </x:c>
      <x:c r="F141" s="8" t="str">
        <x:v>Statement kanal</x:v>
      </x:c>
      <x:c r="G141" s="8" t="str">
        <x:v>Cegah statement/batch ganda</x:v>
      </x:c>
      <x:c r="H141" s="8" t="str">
        <x:v>Draf atau dikembalikan; sesudah diajukan baca saja. Revisi setelah posted melalui prosedur koreksi.</x:v>
      </x:c>
    </x:row>
    <x:row r="142" ht="100" customHeight="1">
      <x:c r="A142" s="8" t="str">
        <x:v>F13 Settlement kanal</x:v>
      </x:c>
      <x:c r="B142" s="8" t="str">
        <x:v>AR / Treasury</x:v>
      </x:c>
      <x:c r="C142" s="8" t="str">
        <x:v>Transaksi penjualan</x:v>
      </x:c>
      <x:c r="D142" s="8" t="str">
        <x:v>Tabel pasangan</x:v>
      </x:c>
      <x:c r="E142" s="8" t="str">
        <x:v>Ya</x:v>
      </x:c>
      <x:c r="F142" s="8" t="str">
        <x:v>SALE sumber</x:v>
      </x:c>
      <x:c r="G142" s="8" t="str">
        <x:v>Transaksi tidak dialokasikan melebihi sisa</x:v>
      </x:c>
      <x:c r="H142" s="8" t="str">
        <x:v>Draf atau dikembalikan; sesudah diajukan baca saja. Revisi setelah posted melalui prosedur koreksi.</x:v>
      </x:c>
    </x:row>
    <x:row r="143" ht="100" customHeight="1">
      <x:c r="A143" s="8" t="str">
        <x:v>F13 Settlement kanal</x:v>
      </x:c>
      <x:c r="B143" s="8" t="str">
        <x:v>AR / Treasury</x:v>
      </x:c>
      <x:c r="C143" s="8" t="str">
        <x:v>Bruto Rp</x:v>
      </x:c>
      <x:c r="D143" s="8" t="str">
        <x:v>Baca saja</x:v>
      </x:c>
      <x:c r="E143" s="8" t="str">
        <x:v>Ya</x:v>
      </x:c>
      <x:c r="F143" s="8" t="str">
        <x:v>Transaksi sumber</x:v>
      </x:c>
      <x:c r="G143" s="8" t="str">
        <x:v>Rekonsiliasi ke statement</x:v>
      </x:c>
      <x:c r="H143" s="8" t="str">
        <x:v>Draf atau dikembalikan; sesudah diajukan baca saja. Revisi setelah posted melalui prosedur koreksi.</x:v>
      </x:c>
    </x:row>
    <x:row r="144" ht="100" customHeight="1">
      <x:c r="A144" s="8" t="str">
        <x:v>F13 Settlement kanal</x:v>
      </x:c>
      <x:c r="B144" s="8" t="str">
        <x:v>AR / Treasury</x:v>
      </x:c>
      <x:c r="C144" s="8" t="str">
        <x:v>Biaya dan potongan Rp</x:v>
      </x:c>
      <x:c r="D144" s="8" t="str">
        <x:v>Baris nominal</x:v>
      </x:c>
      <x:c r="E144" s="8" t="str">
        <x:v>Sesuai statement</x:v>
      </x:c>
      <x:c r="F144" s="8" t="str">
        <x:v>Statement</x:v>
      </x:c>
      <x:c r="G144" s="8" t="str">
        <x:v>Biaya kartu melekat pada settlement; tidak ditagihkan ulang</x:v>
      </x:c>
      <x:c r="H144" s="8" t="str">
        <x:v>Draf atau dikembalikan; sesudah diajukan baca saja. Revisi setelah posted melalui prosedur koreksi.</x:v>
      </x:c>
    </x:row>
    <x:row r="145" ht="100" customHeight="1">
      <x:c r="A145" s="8" t="str">
        <x:v>F13 Settlement kanal</x:v>
      </x:c>
      <x:c r="B145" s="8" t="str">
        <x:v>AR / Treasury</x:v>
      </x:c>
      <x:c r="C145" s="8" t="str">
        <x:v>Neto seharusnya Rp</x:v>
      </x:c>
      <x:c r="D145" s="8" t="str">
        <x:v>Baca saja</x:v>
      </x:c>
      <x:c r="E145" s="8" t="str">
        <x:v>Otomatis</x:v>
      </x:c>
      <x:c r="F145" s="8" t="str">
        <x:v>Bruto dikurangi potongan</x:v>
      </x:c>
      <x:c r="G145" s="8" t="str">
        <x:v>Selisih harus dijelaskan</x:v>
      </x:c>
      <x:c r="H145" s="8" t="str">
        <x:v>Draf atau dikembalikan; sesudah diajukan baca saja. Revisi setelah posted melalui prosedur koreksi.</x:v>
      </x:c>
    </x:row>
    <x:row r="146" ht="100" customHeight="1">
      <x:c r="A146" s="8" t="str">
        <x:v>F13 Settlement kanal</x:v>
      </x:c>
      <x:c r="B146" s="8" t="str">
        <x:v>AR / Treasury</x:v>
      </x:c>
      <x:c r="C146" s="8" t="str">
        <x:v>Penerimaan terkait</x:v>
      </x:c>
      <x:c r="D146" s="8" t="str">
        <x:v>Referensi</x:v>
      </x:c>
      <x:c r="E146" s="8" t="str">
        <x:v>Saat dana diterima</x:v>
      </x:c>
      <x:c r="F146" s="8" t="str">
        <x:v>RCPT</x:v>
      </x:c>
      <x:c r="G146" s="8" t="str">
        <x:v>Satu penerimaan yang sama di Kas &amp; Bank</x:v>
      </x:c>
      <x:c r="H146" s="8" t="str">
        <x:v>Draf atau dikembalikan; sesudah diajukan baca saja. Revisi setelah posted melalui prosedur koreksi.</x:v>
      </x:c>
    </x:row>
    <x:row r="147" ht="100" customHeight="1">
      <x:c r="A147" s="8" t="str">
        <x:v>F14 Uang muka pelanggan / refund</x:v>
      </x:c>
      <x:c r="B147" s="8" t="str">
        <x:v>AR / Treasury</x:v>
      </x:c>
      <x:c r="C147" s="8" t="str">
        <x:v>Nomor dokumen</x:v>
      </x:c>
      <x:c r="D147" s="8" t="str">
        <x:v>Baca saja</x:v>
      </x:c>
      <x:c r="E147" s="8" t="str">
        <x:v>Otomatis</x:v>
      </x:c>
      <x:c r="F147" s="8" t="str">
        <x:v>Sistem</x:v>
      </x:c>
      <x:c r="G147" s="8" t="str">
        <x:v>Tetap satu ID; versi berubah jika revisi</x:v>
      </x:c>
      <x:c r="H147" s="8" t="str">
        <x:v>Draf atau dikembalikan; sesudah diajukan baca saja. Revisi setelah posted melalui prosedur koreksi.</x:v>
      </x:c>
    </x:row>
    <x:row r="148" ht="100" customHeight="1">
      <x:c r="A148" s="8" t="str">
        <x:v>F14 Uang muka pelanggan / refund</x:v>
      </x:c>
      <x:c r="B148" s="8" t="str">
        <x:v>AR / Treasury</x:v>
      </x:c>
      <x:c r="C148" s="8" t="str">
        <x:v>Unit</x:v>
      </x:c>
      <x:c r="D148" s="8" t="str">
        <x:v>Dropdown</x:v>
      </x:c>
      <x:c r="E148" s="8" t="str">
        <x:v>Ya</x:v>
      </x:c>
      <x:c r="F148" s="8" t="str">
        <x:v>Unit yang boleh diakses</x:v>
      </x:c>
      <x:c r="G148" s="8" t="str">
        <x:v>Akun, pihak dan transaksi sesuai unit</x:v>
      </x:c>
      <x:c r="H148" s="8" t="str">
        <x:v>Draf atau dikembalikan; sesudah diajukan baca saja. Revisi setelah posted melalui prosedur koreksi.</x:v>
      </x:c>
    </x:row>
    <x:row r="149" ht="100" customHeight="1">
      <x:c r="A149" s="8" t="str">
        <x:v>F14 Uang muka pelanggan / refund</x:v>
      </x:c>
      <x:c r="B149" s="8" t="str">
        <x:v>AR / Treasury</x:v>
      </x:c>
      <x:c r="C149" s="8" t="str">
        <x:v>Tanggal transaksi</x:v>
      </x:c>
      <x:c r="D149" s="8" t="str">
        <x:v>Tanggal</x:v>
      </x:c>
      <x:c r="E149" s="8" t="str">
        <x:v>Ya</x:v>
      </x:c>
      <x:c r="F149" s="8" t="str">
        <x:v>Pengguna</x:v>
      </x:c>
      <x:c r="G149" s="8" t="str">
        <x:v>Periode harus terbuka untuk posting baru</x:v>
      </x:c>
      <x:c r="H149" s="8" t="str">
        <x:v>Draf atau dikembalikan; sesudah diajukan baca saja. Revisi setelah posted melalui prosedur koreksi.</x:v>
      </x:c>
    </x:row>
    <x:row r="150" ht="100" customHeight="1">
      <x:c r="A150" s="8" t="str">
        <x:v>F14 Uang muka pelanggan / refund</x:v>
      </x:c>
      <x:c r="B150" s="8" t="str">
        <x:v>AR / Treasury</x:v>
      </x:c>
      <x:c r="C150" s="8" t="str">
        <x:v>Keterangan</x:v>
      </x:c>
      <x:c r="D150" s="8" t="str">
        <x:v>Teks</x:v>
      </x:c>
      <x:c r="E150" s="8" t="str">
        <x:v>Sesuai konteks</x:v>
      </x:c>
      <x:c r="F150" s="8" t="str">
        <x:v>Pengguna</x:v>
      </x:c>
      <x:c r="G150" s="8" t="str">
        <x:v>Alasan wajib untuk koreksi atau pengecualian</x:v>
      </x:c>
      <x:c r="H150" s="8" t="str">
        <x:v>Draf atau dikembalikan; sesudah diajukan baca saja. Revisi setelah posted melalui prosedur koreksi.</x:v>
      </x:c>
    </x:row>
    <x:row r="151" ht="100" customHeight="1">
      <x:c r="A151" s="8" t="str">
        <x:v>F14 Uang muka pelanggan / refund</x:v>
      </x:c>
      <x:c r="B151" s="8" t="str">
        <x:v>AR / Treasury</x:v>
      </x:c>
      <x:c r="C151" s="8" t="str">
        <x:v>Lampiran</x:v>
      </x:c>
      <x:c r="D151" s="8" t="str">
        <x:v>Upload dokumen</x:v>
      </x:c>
      <x:c r="E151" s="8" t="str">
        <x:v>Sesuai jenis</x:v>
      </x:c>
      <x:c r="F151" s="8" t="str">
        <x:v>Pengguna</x:v>
      </x:c>
      <x:c r="G151" s="8" t="str">
        <x:v>Jenis/ukuran sesuai konfigurasi; status unggah terlihat</x:v>
      </x:c>
      <x:c r="H151" s="8" t="str">
        <x:v>Draf atau dikembalikan; sesudah diajukan baca saja. Revisi setelah posted melalui prosedur koreksi.</x:v>
      </x:c>
    </x:row>
    <x:row r="152" ht="100" customHeight="1">
      <x:c r="A152" s="8" t="str">
        <x:v>F14 Uang muka pelanggan / refund</x:v>
      </x:c>
      <x:c r="B152" s="8" t="str">
        <x:v>AR / Treasury</x:v>
      </x:c>
      <x:c r="C152" s="8" t="str">
        <x:v>Pelanggan</x:v>
      </x:c>
      <x:c r="D152" s="8" t="str">
        <x:v>Referensi</x:v>
      </x:c>
      <x:c r="E152" s="8" t="str">
        <x:v>Ya</x:v>
      </x:c>
      <x:c r="F152" s="8" t="str">
        <x:v>Master pelanggan</x:v>
      </x:c>
      <x:c r="G152" s="8" t="str">
        <x:v>Sesuai sumber</x:v>
      </x:c>
      <x:c r="H152" s="8" t="str">
        <x:v>Draf atau dikembalikan; sesudah diajukan baca saja. Revisi setelah posted melalui prosedur koreksi.</x:v>
      </x:c>
    </x:row>
    <x:row r="153" ht="100" customHeight="1">
      <x:c r="A153" s="8" t="str">
        <x:v>F14 Uang muka pelanggan / refund</x:v>
      </x:c>
      <x:c r="B153" s="8" t="str">
        <x:v>AR / Treasury</x:v>
      </x:c>
      <x:c r="C153" s="8" t="str">
        <x:v>Jenis tindakan</x:v>
      </x:c>
      <x:c r="D153" s="8" t="str">
        <x:v>Pilihan</x:v>
      </x:c>
      <x:c r="E153" s="8" t="str">
        <x:v>Ya</x:v>
      </x:c>
      <x:c r="F153" s="8" t="str">
        <x:v>Catat uang muka; alokasikan; ajukan refund</x:v>
      </x:c>
      <x:c r="G153" s="8" t="str">
        <x:v>Field berubah sesuai tindakan</x:v>
      </x:c>
      <x:c r="H153" s="8" t="str">
        <x:v>Draf atau dikembalikan; sesudah diajukan baca saja. Revisi setelah posted melalui prosedur koreksi.</x:v>
      </x:c>
    </x:row>
    <x:row r="154" ht="100" customHeight="1">
      <x:c r="A154" s="8" t="str">
        <x:v>F14 Uang muka pelanggan / refund</x:v>
      </x:c>
      <x:c r="B154" s="8" t="str">
        <x:v>AR / Treasury</x:v>
      </x:c>
      <x:c r="C154" s="8" t="str">
        <x:v>Pesanan/invoice/retur sumber</x:v>
      </x:c>
      <x:c r="D154" s="8" t="str">
        <x:v>Referensi</x:v>
      </x:c>
      <x:c r="E154" s="8" t="str">
        <x:v>Ya sesuai tindakan</x:v>
      </x:c>
      <x:c r="F154" s="8" t="str">
        <x:v>Dokumen bisnis</x:v>
      </x:c>
      <x:c r="G154" s="8" t="str">
        <x:v>Satu sumber dan sisa yang sah</x:v>
      </x:c>
      <x:c r="H154" s="8" t="str">
        <x:v>Draf atau dikembalikan; sesudah diajukan baca saja. Revisi setelah posted melalui prosedur koreksi.</x:v>
      </x:c>
    </x:row>
    <x:row r="155" ht="100" customHeight="1">
      <x:c r="A155" s="8" t="str">
        <x:v>F14 Uang muka pelanggan / refund</x:v>
      </x:c>
      <x:c r="B155" s="8" t="str">
        <x:v>AR / Treasury</x:v>
      </x:c>
      <x:c r="C155" s="8" t="str">
        <x:v>Nominal Rp</x:v>
      </x:c>
      <x:c r="D155" s="8" t="str">
        <x:v>Nominal</x:v>
      </x:c>
      <x:c r="E155" s="8" t="str">
        <x:v>Ya</x:v>
      </x:c>
      <x:c r="F155" s="8" t="str">
        <x:v>Sisa uang muka/refund disetujui</x:v>
      </x:c>
      <x:c r="G155" s="8" t="str">
        <x:v>Tidak melebihi hak/saldo sumber</x:v>
      </x:c>
      <x:c r="H155" s="8" t="str">
        <x:v>Draf atau dikembalikan; sesudah diajukan baca saja. Revisi setelah posted melalui prosedur koreksi.</x:v>
      </x:c>
    </x:row>
    <x:row r="156" ht="100" customHeight="1">
      <x:c r="A156" s="8" t="str">
        <x:v>F14 Uang muka pelanggan / refund</x:v>
      </x:c>
      <x:c r="B156" s="8" t="str">
        <x:v>AR / Treasury</x:v>
      </x:c>
      <x:c r="C156" s="8" t="str">
        <x:v>Penerimaan/pembayaran</x:v>
      </x:c>
      <x:c r="D156" s="8" t="str">
        <x:v>Referensi</x:v>
      </x:c>
      <x:c r="E156" s="8" t="str">
        <x:v>Saat eksekusi</x:v>
      </x:c>
      <x:c r="F156" s="8" t="str">
        <x:v>F03/F02</x:v>
      </x:c>
      <x:c r="G156" s="8" t="str">
        <x:v>Refund tidak dianggap selesai sebelum payment hasil aktual</x:v>
      </x:c>
      <x:c r="H156" s="8" t="str">
        <x:v>Draf atau dikembalikan; sesudah diajukan baca saja. Revisi setelah posted melalui prosedur koreksi.</x:v>
      </x:c>
    </x:row>
    <x:row r="157" ht="100" customHeight="1">
      <x:c r="A157" s="8" t="str">
        <x:v>F15 Penilaian penerimaan / pemakaian</x:v>
      </x:c>
      <x:c r="B157" s="8" t="str">
        <x:v>Finance persediaan</x:v>
      </x:c>
      <x:c r="C157" s="8" t="str">
        <x:v>Nomor dokumen</x:v>
      </x:c>
      <x:c r="D157" s="8" t="str">
        <x:v>Baca saja</x:v>
      </x:c>
      <x:c r="E157" s="8" t="str">
        <x:v>Otomatis</x:v>
      </x:c>
      <x:c r="F157" s="8" t="str">
        <x:v>Sistem</x:v>
      </x:c>
      <x:c r="G157" s="8" t="str">
        <x:v>Tetap satu ID; versi berubah jika revisi</x:v>
      </x:c>
      <x:c r="H157" s="8" t="str">
        <x:v>Draf atau dikembalikan; sesudah diajukan baca saja. Revisi setelah posted melalui prosedur koreksi.</x:v>
      </x:c>
    </x:row>
    <x:row r="158" ht="100" customHeight="1">
      <x:c r="A158" s="8" t="str">
        <x:v>F15 Penilaian penerimaan / pemakaian</x:v>
      </x:c>
      <x:c r="B158" s="8" t="str">
        <x:v>Finance persediaan</x:v>
      </x:c>
      <x:c r="C158" s="8" t="str">
        <x:v>Unit</x:v>
      </x:c>
      <x:c r="D158" s="8" t="str">
        <x:v>Dropdown</x:v>
      </x:c>
      <x:c r="E158" s="8" t="str">
        <x:v>Ya</x:v>
      </x:c>
      <x:c r="F158" s="8" t="str">
        <x:v>Unit yang boleh diakses</x:v>
      </x:c>
      <x:c r="G158" s="8" t="str">
        <x:v>Akun, pihak dan transaksi sesuai unit</x:v>
      </x:c>
      <x:c r="H158" s="8" t="str">
        <x:v>Draf atau dikembalikan; sesudah diajukan baca saja. Revisi setelah posted melalui prosedur koreksi.</x:v>
      </x:c>
    </x:row>
    <x:row r="159" ht="100" customHeight="1">
      <x:c r="A159" s="8" t="str">
        <x:v>F15 Penilaian penerimaan / pemakaian</x:v>
      </x:c>
      <x:c r="B159" s="8" t="str">
        <x:v>Finance persediaan</x:v>
      </x:c>
      <x:c r="C159" s="8" t="str">
        <x:v>Tanggal transaksi</x:v>
      </x:c>
      <x:c r="D159" s="8" t="str">
        <x:v>Tanggal</x:v>
      </x:c>
      <x:c r="E159" s="8" t="str">
        <x:v>Ya</x:v>
      </x:c>
      <x:c r="F159" s="8" t="str">
        <x:v>Pengguna</x:v>
      </x:c>
      <x:c r="G159" s="8" t="str">
        <x:v>Periode harus terbuka untuk posting baru</x:v>
      </x:c>
      <x:c r="H159" s="8" t="str">
        <x:v>Draf atau dikembalikan; sesudah diajukan baca saja. Revisi setelah posted melalui prosedur koreksi.</x:v>
      </x:c>
    </x:row>
    <x:row r="160" ht="100" customHeight="1">
      <x:c r="A160" s="8" t="str">
        <x:v>F15 Penilaian penerimaan / pemakaian</x:v>
      </x:c>
      <x:c r="B160" s="8" t="str">
        <x:v>Finance persediaan</x:v>
      </x:c>
      <x:c r="C160" s="8" t="str">
        <x:v>Keterangan</x:v>
      </x:c>
      <x:c r="D160" s="8" t="str">
        <x:v>Teks</x:v>
      </x:c>
      <x:c r="E160" s="8" t="str">
        <x:v>Sesuai konteks</x:v>
      </x:c>
      <x:c r="F160" s="8" t="str">
        <x:v>Pengguna</x:v>
      </x:c>
      <x:c r="G160" s="8" t="str">
        <x:v>Alasan wajib untuk koreksi atau pengecualian</x:v>
      </x:c>
      <x:c r="H160" s="8" t="str">
        <x:v>Draf atau dikembalikan; sesudah diajukan baca saja. Revisi setelah posted melalui prosedur koreksi.</x:v>
      </x:c>
    </x:row>
    <x:row r="161" ht="100" customHeight="1">
      <x:c r="A161" s="8" t="str">
        <x:v>F15 Penilaian penerimaan / pemakaian</x:v>
      </x:c>
      <x:c r="B161" s="8" t="str">
        <x:v>Finance persediaan</x:v>
      </x:c>
      <x:c r="C161" s="8" t="str">
        <x:v>Lampiran</x:v>
      </x:c>
      <x:c r="D161" s="8" t="str">
        <x:v>Upload dokumen</x:v>
      </x:c>
      <x:c r="E161" s="8" t="str">
        <x:v>Sesuai jenis</x:v>
      </x:c>
      <x:c r="F161" s="8" t="str">
        <x:v>Pengguna</x:v>
      </x:c>
      <x:c r="G161" s="8" t="str">
        <x:v>Jenis/ukuran sesuai konfigurasi; status unggah terlihat</x:v>
      </x:c>
      <x:c r="H161" s="8" t="str">
        <x:v>Draf atau dikembalikan; sesudah diajukan baca saja. Revisi setelah posted melalui prosedur koreksi.</x:v>
      </x:c>
    </x:row>
    <x:row r="162" ht="100" customHeight="1">
      <x:c r="A162" s="8" t="str">
        <x:v>F15 Penilaian penerimaan / pemakaian</x:v>
      </x:c>
      <x:c r="B162" s="8" t="str">
        <x:v>Finance persediaan</x:v>
      </x:c>
      <x:c r="C162" s="8" t="str">
        <x:v>Dokumen barang sumber</x:v>
      </x:c>
      <x:c r="D162" s="8" t="str">
        <x:v>Referensi</x:v>
      </x:c>
      <x:c r="E162" s="8" t="str">
        <x:v>Ya</x:v>
      </x:c>
      <x:c r="F162" s="8" t="str">
        <x:v>Operasi gudang/toko</x:v>
      </x:c>
      <x:c r="G162" s="8" t="str">
        <x:v>Tidak membuat penerimaan fisik kedua</x:v>
      </x:c>
      <x:c r="H162" s="8" t="str">
        <x:v>Draf atau dikembalikan; sesudah diajukan baca saja. Revisi setelah posted melalui prosedur koreksi.</x:v>
      </x:c>
    </x:row>
    <x:row r="163" ht="100" customHeight="1">
      <x:c r="A163" s="8" t="str">
        <x:v>F15 Penilaian penerimaan / pemakaian</x:v>
      </x:c>
      <x:c r="B163" s="8" t="str">
        <x:v>Finance persediaan</x:v>
      </x:c>
      <x:c r="C163" s="8" t="str">
        <x:v>Jenis pergerakan</x:v>
      </x:c>
      <x:c r="D163" s="8" t="str">
        <x:v>Baca saja</x:v>
      </x:c>
      <x:c r="E163" s="8" t="str">
        <x:v>Ya</x:v>
      </x:c>
      <x:c r="F163" s="8" t="str">
        <x:v>Dokumen sumber</x:v>
      </x:c>
      <x:c r="G163" s="8" t="str">
        <x:v>Penerimaan/pemakaian/retur sesuai fakta</x:v>
      </x:c>
      <x:c r="H163" s="8" t="str">
        <x:v>Draf atau dikembalikan; sesudah diajukan baca saja. Revisi setelah posted melalui prosedur koreksi.</x:v>
      </x:c>
    </x:row>
    <x:row r="164" ht="100" customHeight="1">
      <x:c r="A164" s="8" t="str">
        <x:v>F15 Penilaian penerimaan / pemakaian</x:v>
      </x:c>
      <x:c r="B164" s="8" t="str">
        <x:v>Finance persediaan</x:v>
      </x:c>
      <x:c r="C164" s="8" t="str">
        <x:v>Rincian barang</x:v>
      </x:c>
      <x:c r="D164" s="8" t="str">
        <x:v>Tabel anak</x:v>
      </x:c>
      <x:c r="E164" s="8" t="str">
        <x:v>Ya</x:v>
      </x:c>
      <x:c r="F164" s="8" t="str">
        <x:v>Sumber operasi</x:v>
      </x:c>
      <x:c r="G164" s="8" t="str">
        <x:v>Qty sumber baca saja; nilai menurut harga/metode sah</x:v>
      </x:c>
      <x:c r="H164" s="8" t="str">
        <x:v>Draf atau dikembalikan; sesudah diajukan baca saja. Revisi setelah posted melalui prosedur koreksi.</x:v>
      </x:c>
    </x:row>
    <x:row r="165" ht="100" customHeight="1">
      <x:c r="A165" s="8" t="str">
        <x:v>F15 Penilaian penerimaan / pemakaian</x:v>
      </x:c>
      <x:c r="B165" s="8" t="str">
        <x:v>Finance persediaan</x:v>
      </x:c>
      <x:c r="C165" s="8" t="str">
        <x:v>Nilai yang perlu ditinjau Rp</x:v>
      </x:c>
      <x:c r="D165" s="8" t="str">
        <x:v>Nominal terbatas</x:v>
      </x:c>
      <x:c r="E165" s="8" t="str">
        <x:v>Jika metode mengizinkan</x:v>
      </x:c>
      <x:c r="F165" s="8" t="str">
        <x:v>Invoice/metode penilaian</x:v>
      </x:c>
      <x:c r="G165" s="8" t="str">
        <x:v>Perubahan nilai memiliki dasar dan keputusan</x:v>
      </x:c>
      <x:c r="H165" s="8" t="str">
        <x:v>Draf atau dikembalikan; sesudah diajukan baca saja. Revisi setelah posted melalui prosedur koreksi.</x:v>
      </x:c>
    </x:row>
    <x:row r="166" ht="100" customHeight="1">
      <x:c r="A166" s="8" t="str">
        <x:v>F15 Penilaian penerimaan / pemakaian</x:v>
      </x:c>
      <x:c r="B166" s="8" t="str">
        <x:v>Finance persediaan</x:v>
      </x:c>
      <x:c r="C166" s="8" t="str">
        <x:v>Tagihan terkait</x:v>
      </x:c>
      <x:c r="D166" s="8" t="str">
        <x:v>Referensi</x:v>
      </x:c>
      <x:c r="E166" s="8" t="str">
        <x:v>Jika dari vendor</x:v>
      </x:c>
      <x:c r="F166" s="8" t="str">
        <x:v>BILL</x:v>
      </x:c>
      <x:c r="G166" s="8" t="str">
        <x:v>Jumlah/harga dapat ditelusuri</x:v>
      </x:c>
      <x:c r="H166" s="8" t="str">
        <x:v>Draf atau dikembalikan; sesudah diajukan baca saja. Revisi setelah posted melalui prosedur koreksi.</x:v>
      </x:c>
    </x:row>
    <x:row r="167" ht="100" customHeight="1">
      <x:c r="A167" s="8" t="str">
        <x:v>F16 Pengiriman / penerimaan antarunit</x:v>
      </x:c>
      <x:c r="B167" s="8" t="str">
        <x:v>Operasi dan finance persediaan</x:v>
      </x:c>
      <x:c r="C167" s="8" t="str">
        <x:v>Nomor dokumen</x:v>
      </x:c>
      <x:c r="D167" s="8" t="str">
        <x:v>Baca saja</x:v>
      </x:c>
      <x:c r="E167" s="8" t="str">
        <x:v>Otomatis</x:v>
      </x:c>
      <x:c r="F167" s="8" t="str">
        <x:v>Sistem</x:v>
      </x:c>
      <x:c r="G167" s="8" t="str">
        <x:v>Tetap satu ID; versi berubah jika revisi</x:v>
      </x:c>
      <x:c r="H167" s="8" t="str">
        <x:v>Draf atau dikembalikan; sesudah diajukan baca saja. Revisi setelah posted melalui prosedur koreksi.</x:v>
      </x:c>
    </x:row>
    <x:row r="168" ht="100" customHeight="1">
      <x:c r="A168" s="8" t="str">
        <x:v>F16 Pengiriman / penerimaan antarunit</x:v>
      </x:c>
      <x:c r="B168" s="8" t="str">
        <x:v>Operasi dan finance persediaan</x:v>
      </x:c>
      <x:c r="C168" s="8" t="str">
        <x:v>Unit</x:v>
      </x:c>
      <x:c r="D168" s="8" t="str">
        <x:v>Dropdown</x:v>
      </x:c>
      <x:c r="E168" s="8" t="str">
        <x:v>Ya</x:v>
      </x:c>
      <x:c r="F168" s="8" t="str">
        <x:v>Unit yang boleh diakses</x:v>
      </x:c>
      <x:c r="G168" s="8" t="str">
        <x:v>Akun, pihak dan transaksi sesuai unit</x:v>
      </x:c>
      <x:c r="H168" s="8" t="str">
        <x:v>Draf atau dikembalikan; sesudah diajukan baca saja. Revisi setelah posted melalui prosedur koreksi.</x:v>
      </x:c>
    </x:row>
    <x:row r="169" ht="100" customHeight="1">
      <x:c r="A169" s="8" t="str">
        <x:v>F16 Pengiriman / penerimaan antarunit</x:v>
      </x:c>
      <x:c r="B169" s="8" t="str">
        <x:v>Operasi dan finance persediaan</x:v>
      </x:c>
      <x:c r="C169" s="8" t="str">
        <x:v>Tanggal transaksi</x:v>
      </x:c>
      <x:c r="D169" s="8" t="str">
        <x:v>Tanggal</x:v>
      </x:c>
      <x:c r="E169" s="8" t="str">
        <x:v>Ya</x:v>
      </x:c>
      <x:c r="F169" s="8" t="str">
        <x:v>Pengguna</x:v>
      </x:c>
      <x:c r="G169" s="8" t="str">
        <x:v>Periode harus terbuka untuk posting baru</x:v>
      </x:c>
      <x:c r="H169" s="8" t="str">
        <x:v>Draf atau dikembalikan; sesudah diajukan baca saja. Revisi setelah posted melalui prosedur koreksi.</x:v>
      </x:c>
    </x:row>
    <x:row r="170" ht="100" customHeight="1">
      <x:c r="A170" s="8" t="str">
        <x:v>F16 Pengiriman / penerimaan antarunit</x:v>
      </x:c>
      <x:c r="B170" s="8" t="str">
        <x:v>Operasi dan finance persediaan</x:v>
      </x:c>
      <x:c r="C170" s="8" t="str">
        <x:v>Keterangan</x:v>
      </x:c>
      <x:c r="D170" s="8" t="str">
        <x:v>Teks</x:v>
      </x:c>
      <x:c r="E170" s="8" t="str">
        <x:v>Sesuai konteks</x:v>
      </x:c>
      <x:c r="F170" s="8" t="str">
        <x:v>Pengguna</x:v>
      </x:c>
      <x:c r="G170" s="8" t="str">
        <x:v>Alasan wajib untuk koreksi atau pengecualian</x:v>
      </x:c>
      <x:c r="H170" s="8" t="str">
        <x:v>Draf atau dikembalikan; sesudah diajukan baca saja. Revisi setelah posted melalui prosedur koreksi.</x:v>
      </x:c>
    </x:row>
    <x:row r="171" ht="100" customHeight="1">
      <x:c r="A171" s="8" t="str">
        <x:v>F16 Pengiriman / penerimaan antarunit</x:v>
      </x:c>
      <x:c r="B171" s="8" t="str">
        <x:v>Operasi dan finance persediaan</x:v>
      </x:c>
      <x:c r="C171" s="8" t="str">
        <x:v>Lampiran</x:v>
      </x:c>
      <x:c r="D171" s="8" t="str">
        <x:v>Upload dokumen</x:v>
      </x:c>
      <x:c r="E171" s="8" t="str">
        <x:v>Sesuai jenis</x:v>
      </x:c>
      <x:c r="F171" s="8" t="str">
        <x:v>Pengguna</x:v>
      </x:c>
      <x:c r="G171" s="8" t="str">
        <x:v>Jenis/ukuran sesuai konfigurasi; status unggah terlihat</x:v>
      </x:c>
      <x:c r="H171" s="8" t="str">
        <x:v>Draf atau dikembalikan; sesudah diajukan baca saja. Revisi setelah posted melalui prosedur koreksi.</x:v>
      </x:c>
    </x:row>
    <x:row r="172" ht="100" customHeight="1">
      <x:c r="A172" s="8" t="str">
        <x:v>F16 Pengiriman / penerimaan antarunit</x:v>
      </x:c>
      <x:c r="B172" s="8" t="str">
        <x:v>Operasi dan finance persediaan</x:v>
      </x:c>
      <x:c r="C172" s="8" t="str">
        <x:v>Pengiriman sumber</x:v>
      </x:c>
      <x:c r="D172" s="8" t="str">
        <x:v>Referensi</x:v>
      </x:c>
      <x:c r="E172" s="8" t="str">
        <x:v>Ya</x:v>
      </x:c>
      <x:c r="F172" s="8" t="str">
        <x:v>Operasi</x:v>
      </x:c>
      <x:c r="G172" s="8" t="str">
        <x:v>Satu ID pengiriman</x:v>
      </x:c>
      <x:c r="H172" s="8" t="str">
        <x:v>Draf atau dikembalikan; sesudah diajukan baca saja. Revisi setelah posted melalui prosedur koreksi.</x:v>
      </x:c>
    </x:row>
    <x:row r="173" ht="100" customHeight="1">
      <x:c r="A173" s="8" t="str">
        <x:v>F16 Pengiriman / penerimaan antarunit</x:v>
      </x:c>
      <x:c r="B173" s="8" t="str">
        <x:v>Operasi dan finance persediaan</x:v>
      </x:c>
      <x:c r="C173" s="8" t="str">
        <x:v>Unit asal</x:v>
      </x:c>
      <x:c r="D173" s="8" t="str">
        <x:v>Baca saja</x:v>
      </x:c>
      <x:c r="E173" s="8" t="str">
        <x:v>Ya</x:v>
      </x:c>
      <x:c r="F173" s="8" t="str">
        <x:v>Pengiriman</x:v>
      </x:c>
      <x:c r="G173" s="8" t="str">
        <x:v>Berbeda dari tujuan</x:v>
      </x:c>
      <x:c r="H173" s="8" t="str">
        <x:v>Draf atau dikembalikan; sesudah diajukan baca saja. Revisi setelah posted melalui prosedur koreksi.</x:v>
      </x:c>
    </x:row>
    <x:row r="174" ht="100" customHeight="1">
      <x:c r="A174" s="8" t="str">
        <x:v>F16 Pengiriman / penerimaan antarunit</x:v>
      </x:c>
      <x:c r="B174" s="8" t="str">
        <x:v>Operasi dan finance persediaan</x:v>
      </x:c>
      <x:c r="C174" s="8" t="str">
        <x:v>Unit tujuan</x:v>
      </x:c>
      <x:c r="D174" s="8" t="str">
        <x:v>Baca saja</x:v>
      </x:c>
      <x:c r="E174" s="8" t="str">
        <x:v>Ya</x:v>
      </x:c>
      <x:c r="F174" s="8" t="str">
        <x:v>Pengiriman</x:v>
      </x:c>
      <x:c r="G174" s="8" t="str">
        <x:v>Unit penerima sesuai izin</x:v>
      </x:c>
      <x:c r="H174" s="8" t="str">
        <x:v>Draf atau dikembalikan; sesudah diajukan baca saja. Revisi setelah posted melalui prosedur koreksi.</x:v>
      </x:c>
    </x:row>
    <x:row r="175" ht="100" customHeight="1">
      <x:c r="A175" s="8" t="str">
        <x:v>F16 Pengiriman / penerimaan antarunit</x:v>
      </x:c>
      <x:c r="B175" s="8" t="str">
        <x:v>Operasi dan finance persediaan</x:v>
      </x:c>
      <x:c r="C175" s="8" t="str">
        <x:v>Rincian kirim/terima</x:v>
      </x:c>
      <x:c r="D175" s="8" t="str">
        <x:v>Tabel anak</x:v>
      </x:c>
      <x:c r="E175" s="8" t="str">
        <x:v>Ya</x:v>
      </x:c>
      <x:c r="F175" s="8" t="str">
        <x:v>Bukti operasi</x:v>
      </x:c>
      <x:c r="G175" s="8" t="str">
        <x:v>Boleh parsial; tidak menerima dua kali bagian sama</x:v>
      </x:c>
      <x:c r="H175" s="8" t="str">
        <x:v>Draf atau dikembalikan; sesudah diajukan baca saja. Revisi setelah posted melalui prosedur koreksi.</x:v>
      </x:c>
    </x:row>
    <x:row r="176" ht="100" customHeight="1">
      <x:c r="A176" s="8" t="str">
        <x:v>F16 Pengiriman / penerimaan antarunit</x:v>
      </x:c>
      <x:c r="B176" s="8" t="str">
        <x:v>Operasi dan finance persediaan</x:v>
      </x:c>
      <x:c r="C176" s="8" t="str">
        <x:v>Tanggal dan bukti terima</x:v>
      </x:c>
      <x:c r="D176" s="8" t="str">
        <x:v>Tanggal + dokumen</x:v>
      </x:c>
      <x:c r="E176" s="8" t="str">
        <x:v>Saat konfirmasi terima</x:v>
      </x:c>
      <x:c r="F176" s="8" t="str">
        <x:v>Penerima</x:v>
      </x:c>
      <x:c r="G176" s="8" t="str">
        <x:v>Selisih kuantitas/nilai masuk penanganan, bukan diabaikan</x:v>
      </x:c>
      <x:c r="H176" s="8" t="str">
        <x:v>Draf atau dikembalikan; sesudah diajukan baca saja. Revisi setelah posted melalui prosedur koreksi.</x:v>
      </x:c>
    </x:row>
    <x:row r="177" ht="100" customHeight="1">
      <x:c r="A177" s="8" t="str">
        <x:v>F16 Pengiriman / penerimaan antarunit</x:v>
      </x:c>
      <x:c r="B177" s="8" t="str">
        <x:v>Operasi dan finance persediaan</x:v>
      </x:c>
      <x:c r="C177" s="8" t="str">
        <x:v>Pasangan antarunit</x:v>
      </x:c>
      <x:c r="D177" s="8" t="str">
        <x:v>Baca saja</x:v>
      </x:c>
      <x:c r="E177" s="8" t="str">
        <x:v>Otomatis</x:v>
      </x:c>
      <x:c r="F177" s="8" t="str">
        <x:v>Dokumen sumber</x:v>
      </x:c>
      <x:c r="G177" s="8" t="str">
        <x:v>Keluarga barang; bukan pembiayaan</x:v>
      </x:c>
      <x:c r="H177" s="8" t="str">
        <x:v>Draf atau dikembalikan; sesudah diajukan baca saja. Revisi setelah posted melalui prosedur koreksi.</x:v>
      </x:c>
    </x:row>
    <x:row r="178" ht="100" customHeight="1">
      <x:c r="A178" s="8" t="str">
        <x:v>F17 Opname / penyesuaian persediaan</x:v>
      </x:c>
      <x:c r="B178" s="8" t="str">
        <x:v>Finance persediaan / reviewer</x:v>
      </x:c>
      <x:c r="C178" s="8" t="str">
        <x:v>Nomor dokumen</x:v>
      </x:c>
      <x:c r="D178" s="8" t="str">
        <x:v>Baca saja</x:v>
      </x:c>
      <x:c r="E178" s="8" t="str">
        <x:v>Otomatis</x:v>
      </x:c>
      <x:c r="F178" s="8" t="str">
        <x:v>Sistem</x:v>
      </x:c>
      <x:c r="G178" s="8" t="str">
        <x:v>Tetap satu ID; versi berubah jika revisi</x:v>
      </x:c>
      <x:c r="H178" s="8" t="str">
        <x:v>Draf atau dikembalikan; sesudah diajukan baca saja. Revisi setelah posted melalui prosedur koreksi.</x:v>
      </x:c>
    </x:row>
    <x:row r="179" ht="100" customHeight="1">
      <x:c r="A179" s="8" t="str">
        <x:v>F17 Opname / penyesuaian persediaan</x:v>
      </x:c>
      <x:c r="B179" s="8" t="str">
        <x:v>Finance persediaan / reviewer</x:v>
      </x:c>
      <x:c r="C179" s="8" t="str">
        <x:v>Unit</x:v>
      </x:c>
      <x:c r="D179" s="8" t="str">
        <x:v>Dropdown</x:v>
      </x:c>
      <x:c r="E179" s="8" t="str">
        <x:v>Ya</x:v>
      </x:c>
      <x:c r="F179" s="8" t="str">
        <x:v>Unit yang boleh diakses</x:v>
      </x:c>
      <x:c r="G179" s="8" t="str">
        <x:v>Akun, pihak dan transaksi sesuai unit</x:v>
      </x:c>
      <x:c r="H179" s="8" t="str">
        <x:v>Draf atau dikembalikan; sesudah diajukan baca saja. Revisi setelah posted melalui prosedur koreksi.</x:v>
      </x:c>
    </x:row>
    <x:row r="180" ht="100" customHeight="1">
      <x:c r="A180" s="8" t="str">
        <x:v>F17 Opname / penyesuaian persediaan</x:v>
      </x:c>
      <x:c r="B180" s="8" t="str">
        <x:v>Finance persediaan / reviewer</x:v>
      </x:c>
      <x:c r="C180" s="8" t="str">
        <x:v>Tanggal transaksi</x:v>
      </x:c>
      <x:c r="D180" s="8" t="str">
        <x:v>Tanggal</x:v>
      </x:c>
      <x:c r="E180" s="8" t="str">
        <x:v>Ya</x:v>
      </x:c>
      <x:c r="F180" s="8" t="str">
        <x:v>Pengguna</x:v>
      </x:c>
      <x:c r="G180" s="8" t="str">
        <x:v>Periode harus terbuka untuk posting baru</x:v>
      </x:c>
      <x:c r="H180" s="8" t="str">
        <x:v>Draf atau dikembalikan; sesudah diajukan baca saja. Revisi setelah posted melalui prosedur koreksi.</x:v>
      </x:c>
    </x:row>
    <x:row r="181" ht="100" customHeight="1">
      <x:c r="A181" s="8" t="str">
        <x:v>F17 Opname / penyesuaian persediaan</x:v>
      </x:c>
      <x:c r="B181" s="8" t="str">
        <x:v>Finance persediaan / reviewer</x:v>
      </x:c>
      <x:c r="C181" s="8" t="str">
        <x:v>Keterangan</x:v>
      </x:c>
      <x:c r="D181" s="8" t="str">
        <x:v>Teks</x:v>
      </x:c>
      <x:c r="E181" s="8" t="str">
        <x:v>Sesuai konteks</x:v>
      </x:c>
      <x:c r="F181" s="8" t="str">
        <x:v>Pengguna</x:v>
      </x:c>
      <x:c r="G181" s="8" t="str">
        <x:v>Alasan wajib untuk koreksi atau pengecualian</x:v>
      </x:c>
      <x:c r="H181" s="8" t="str">
        <x:v>Draf atau dikembalikan; sesudah diajukan baca saja. Revisi setelah posted melalui prosedur koreksi.</x:v>
      </x:c>
    </x:row>
    <x:row r="182" ht="100" customHeight="1">
      <x:c r="A182" s="8" t="str">
        <x:v>F17 Opname / penyesuaian persediaan</x:v>
      </x:c>
      <x:c r="B182" s="8" t="str">
        <x:v>Finance persediaan / reviewer</x:v>
      </x:c>
      <x:c r="C182" s="8" t="str">
        <x:v>Lampiran</x:v>
      </x:c>
      <x:c r="D182" s="8" t="str">
        <x:v>Upload dokumen</x:v>
      </x:c>
      <x:c r="E182" s="8" t="str">
        <x:v>Sesuai jenis</x:v>
      </x:c>
      <x:c r="F182" s="8" t="str">
        <x:v>Pengguna</x:v>
      </x:c>
      <x:c r="G182" s="8" t="str">
        <x:v>Jenis/ukuran sesuai konfigurasi; status unggah terlihat</x:v>
      </x:c>
      <x:c r="H182" s="8" t="str">
        <x:v>Draf atau dikembalikan; sesudah diajukan baca saja. Revisi setelah posted melalui prosedur koreksi.</x:v>
      </x:c>
    </x:row>
    <x:row r="183" ht="100" customHeight="1">
      <x:c r="A183" s="8" t="str">
        <x:v>F17 Opname / penyesuaian persediaan</x:v>
      </x:c>
      <x:c r="B183" s="8" t="str">
        <x:v>Finance persediaan / reviewer</x:v>
      </x:c>
      <x:c r="C183" s="8" t="str">
        <x:v>Opname sumber</x:v>
      </x:c>
      <x:c r="D183" s="8" t="str">
        <x:v>Referensi</x:v>
      </x:c>
      <x:c r="E183" s="8" t="str">
        <x:v>Ya</x:v>
      </x:c>
      <x:c r="F183" s="8" t="str">
        <x:v>Hasil hitung operasi</x:v>
      </x:c>
      <x:c r="G183" s="8" t="str">
        <x:v>Tanggal dan cakupan hitung jelas</x:v>
      </x:c>
      <x:c r="H183" s="8" t="str">
        <x:v>Draf atau dikembalikan; sesudah diajukan baca saja. Revisi setelah posted melalui prosedur koreksi.</x:v>
      </x:c>
    </x:row>
    <x:row r="184" ht="100" customHeight="1">
      <x:c r="A184" s="8" t="str">
        <x:v>F17 Opname / penyesuaian persediaan</x:v>
      </x:c>
      <x:c r="B184" s="8" t="str">
        <x:v>Finance persediaan / reviewer</x:v>
      </x:c>
      <x:c r="C184" s="8" t="str">
        <x:v>Barang/lokasi</x:v>
      </x:c>
      <x:c r="D184" s="8" t="str">
        <x:v>Referensi</x:v>
      </x:c>
      <x:c r="E184" s="8" t="str">
        <x:v>Ya</x:v>
      </x:c>
      <x:c r="F184" s="8" t="str">
        <x:v>Master dan sumber hitung</x:v>
      </x:c>
      <x:c r="G184" s="8" t="str">
        <x:v>Unit/lokasi sesuai izin</x:v>
      </x:c>
      <x:c r="H184" s="8" t="str">
        <x:v>Draf atau dikembalikan; sesudah diajukan baca saja. Revisi setelah posted melalui prosedur koreksi.</x:v>
      </x:c>
    </x:row>
    <x:row r="185" ht="100" customHeight="1">
      <x:c r="A185" s="8" t="str">
        <x:v>F17 Opname / penyesuaian persediaan</x:v>
      </x:c>
      <x:c r="B185" s="8" t="str">
        <x:v>Finance persediaan / reviewer</x:v>
      </x:c>
      <x:c r="C185" s="8" t="str">
        <x:v>Qty buku</x:v>
      </x:c>
      <x:c r="D185" s="8" t="str">
        <x:v>Baca saja</x:v>
      </x:c>
      <x:c r="E185" s="8" t="str">
        <x:v>Otomatis</x:v>
      </x:c>
      <x:c r="F185" s="8" t="str">
        <x:v>Snapshot pada waktu hitung</x:v>
      </x:c>
      <x:c r="G185" s="8" t="str">
        <x:v>Tidak memakai saldo hari ini untuk hitung masa lalu tanpa penjelasan</x:v>
      </x:c>
      <x:c r="H185" s="8" t="str">
        <x:v>Draf atau dikembalikan; sesudah diajukan baca saja. Revisi setelah posted melalui prosedur koreksi.</x:v>
      </x:c>
    </x:row>
    <x:row r="186" ht="100" customHeight="1">
      <x:c r="A186" s="8" t="str">
        <x:v>F17 Opname / penyesuaian persediaan</x:v>
      </x:c>
      <x:c r="B186" s="8" t="str">
        <x:v>Finance persediaan / reviewer</x:v>
      </x:c>
      <x:c r="C186" s="8" t="str">
        <x:v>Qty fisik</x:v>
      </x:c>
      <x:c r="D186" s="8" t="str">
        <x:v>Angka</x:v>
      </x:c>
      <x:c r="E186" s="8" t="str">
        <x:v>Ya</x:v>
      </x:c>
      <x:c r="F186" s="8" t="str">
        <x:v>Hasil hitung</x:v>
      </x:c>
      <x:c r="G186" s="8" t="str">
        <x:v>Satuan valid dan bukti hitung</x:v>
      </x:c>
      <x:c r="H186" s="8" t="str">
        <x:v>Draf atau dikembalikan; sesudah diajukan baca saja. Revisi setelah posted melalui prosedur koreksi.</x:v>
      </x:c>
    </x:row>
    <x:row r="187" ht="100" customHeight="1">
      <x:c r="A187" s="8" t="str">
        <x:v>F17 Opname / penyesuaian persediaan</x:v>
      </x:c>
      <x:c r="B187" s="8" t="str">
        <x:v>Finance persediaan / reviewer</x:v>
      </x:c>
      <x:c r="C187" s="8" t="str">
        <x:v>Selisih/dampak Rp</x:v>
      </x:c>
      <x:c r="D187" s="8" t="str">
        <x:v>Baca saja</x:v>
      </x:c>
      <x:c r="E187" s="8" t="str">
        <x:v>Otomatis</x:v>
      </x:c>
      <x:c r="F187" s="8" t="str">
        <x:v>Qty dan penilaian</x:v>
      </x:c>
      <x:c r="G187" s="8" t="str">
        <x:v>Tidak diedit langsung untuk memaksa cocok</x:v>
      </x:c>
      <x:c r="H187" s="8" t="str">
        <x:v>Draf atau dikembalikan; sesudah diajukan baca saja. Revisi setelah posted melalui prosedur koreksi.</x:v>
      </x:c>
    </x:row>
    <x:row r="188" ht="100" customHeight="1">
      <x:c r="A188" s="8" t="str">
        <x:v>F17 Opname / penyesuaian persediaan</x:v>
      </x:c>
      <x:c r="B188" s="8" t="str">
        <x:v>Finance persediaan / reviewer</x:v>
      </x:c>
      <x:c r="C188" s="8" t="str">
        <x:v>Alasan penyesuaian</x:v>
      </x:c>
      <x:c r="D188" s="8" t="str">
        <x:v>Pilihan + teks</x:v>
      </x:c>
      <x:c r="E188" s="8" t="str">
        <x:v>Ya</x:v>
      </x:c>
      <x:c r="F188" s="8" t="str">
        <x:v>Reviewer/sumber hitung</x:v>
      </x:c>
      <x:c r="G188" s="8" t="str">
        <x:v>Keputusan sebelum posting</x:v>
      </x:c>
      <x:c r="H188" s="8" t="str">
        <x:v>Draf atau dikembalikan; sesudah diajukan baca saja. Revisi setelah posted melalui prosedur koreksi.</x:v>
      </x:c>
    </x:row>
    <x:row r="189" ht="100" customHeight="1">
      <x:c r="A189" s="8" t="str">
        <x:v>F18 Transaksi / penyelesaian antarunit</x:v>
      </x:c>
      <x:c r="B189" s="8" t="str">
        <x:v>Finance unit / HO</x:v>
      </x:c>
      <x:c r="C189" s="8" t="str">
        <x:v>Nomor dokumen</x:v>
      </x:c>
      <x:c r="D189" s="8" t="str">
        <x:v>Baca saja</x:v>
      </x:c>
      <x:c r="E189" s="8" t="str">
        <x:v>Otomatis</x:v>
      </x:c>
      <x:c r="F189" s="8" t="str">
        <x:v>Sistem</x:v>
      </x:c>
      <x:c r="G189" s="8" t="str">
        <x:v>Tetap satu ID; versi berubah jika revisi</x:v>
      </x:c>
      <x:c r="H189" s="8" t="str">
        <x:v>Draf atau dikembalikan; sesudah diajukan baca saja. Revisi setelah posted melalui prosedur koreksi.</x:v>
      </x:c>
    </x:row>
    <x:row r="190" ht="100" customHeight="1">
      <x:c r="A190" s="8" t="str">
        <x:v>F18 Transaksi / penyelesaian antarunit</x:v>
      </x:c>
      <x:c r="B190" s="8" t="str">
        <x:v>Finance unit / HO</x:v>
      </x:c>
      <x:c r="C190" s="8" t="str">
        <x:v>Unit</x:v>
      </x:c>
      <x:c r="D190" s="8" t="str">
        <x:v>Dropdown</x:v>
      </x:c>
      <x:c r="E190" s="8" t="str">
        <x:v>Ya</x:v>
      </x:c>
      <x:c r="F190" s="8" t="str">
        <x:v>Unit yang boleh diakses</x:v>
      </x:c>
      <x:c r="G190" s="8" t="str">
        <x:v>Akun, pihak dan transaksi sesuai unit</x:v>
      </x:c>
      <x:c r="H190" s="8" t="str">
        <x:v>Draf atau dikembalikan; sesudah diajukan baca saja. Revisi setelah posted melalui prosedur koreksi.</x:v>
      </x:c>
    </x:row>
    <x:row r="191" ht="100" customHeight="1">
      <x:c r="A191" s="8" t="str">
        <x:v>F18 Transaksi / penyelesaian antarunit</x:v>
      </x:c>
      <x:c r="B191" s="8" t="str">
        <x:v>Finance unit / HO</x:v>
      </x:c>
      <x:c r="C191" s="8" t="str">
        <x:v>Tanggal transaksi</x:v>
      </x:c>
      <x:c r="D191" s="8" t="str">
        <x:v>Tanggal</x:v>
      </x:c>
      <x:c r="E191" s="8" t="str">
        <x:v>Ya</x:v>
      </x:c>
      <x:c r="F191" s="8" t="str">
        <x:v>Pengguna</x:v>
      </x:c>
      <x:c r="G191" s="8" t="str">
        <x:v>Periode harus terbuka untuk posting baru</x:v>
      </x:c>
      <x:c r="H191" s="8" t="str">
        <x:v>Draf atau dikembalikan; sesudah diajukan baca saja. Revisi setelah posted melalui prosedur koreksi.</x:v>
      </x:c>
    </x:row>
    <x:row r="192" ht="100" customHeight="1">
      <x:c r="A192" s="8" t="str">
        <x:v>F18 Transaksi / penyelesaian antarunit</x:v>
      </x:c>
      <x:c r="B192" s="8" t="str">
        <x:v>Finance unit / HO</x:v>
      </x:c>
      <x:c r="C192" s="8" t="str">
        <x:v>Keterangan</x:v>
      </x:c>
      <x:c r="D192" s="8" t="str">
        <x:v>Teks</x:v>
      </x:c>
      <x:c r="E192" s="8" t="str">
        <x:v>Sesuai konteks</x:v>
      </x:c>
      <x:c r="F192" s="8" t="str">
        <x:v>Pengguna</x:v>
      </x:c>
      <x:c r="G192" s="8" t="str">
        <x:v>Alasan wajib untuk koreksi atau pengecualian</x:v>
      </x:c>
      <x:c r="H192" s="8" t="str">
        <x:v>Draf atau dikembalikan; sesudah diajukan baca saja. Revisi setelah posted melalui prosedur koreksi.</x:v>
      </x:c>
    </x:row>
    <x:row r="193" ht="100" customHeight="1">
      <x:c r="A193" s="8" t="str">
        <x:v>F18 Transaksi / penyelesaian antarunit</x:v>
      </x:c>
      <x:c r="B193" s="8" t="str">
        <x:v>Finance unit / HO</x:v>
      </x:c>
      <x:c r="C193" s="8" t="str">
        <x:v>Lampiran</x:v>
      </x:c>
      <x:c r="D193" s="8" t="str">
        <x:v>Upload dokumen</x:v>
      </x:c>
      <x:c r="E193" s="8" t="str">
        <x:v>Sesuai jenis</x:v>
      </x:c>
      <x:c r="F193" s="8" t="str">
        <x:v>Pengguna</x:v>
      </x:c>
      <x:c r="G193" s="8" t="str">
        <x:v>Jenis/ukuran sesuai konfigurasi; status unggah terlihat</x:v>
      </x:c>
      <x:c r="H193" s="8" t="str">
        <x:v>Draf atau dikembalikan; sesudah diajukan baca saja. Revisi setelah posted melalui prosedur koreksi.</x:v>
      </x:c>
    </x:row>
    <x:row r="194" ht="100" customHeight="1">
      <x:c r="A194" s="8" t="str">
        <x:v>F18 Transaksi / penyelesaian antarunit</x:v>
      </x:c>
      <x:c r="B194" s="8" t="str">
        <x:v>Finance unit / HO</x:v>
      </x:c>
      <x:c r="C194" s="8" t="str">
        <x:v>Jenis hubungan</x:v>
      </x:c>
      <x:c r="D194" s="8" t="str">
        <x:v>Dropdown</x:v>
      </x:c>
      <x:c r="E194" s="8" t="str">
        <x:v>Ya</x:v>
      </x:c>
      <x:c r="F194" s="8" t="str">
        <x:v>Barang; pendanaan; jenis lain yang disahkan</x:v>
      </x:c>
      <x:c r="G194" s="8" t="str">
        <x:v>Tidak selalu memakai keluarga utang barang</x:v>
      </x:c>
      <x:c r="H194" s="8" t="str">
        <x:v>Draf atau dikembalikan; sesudah diajukan baca saja. Revisi setelah posted melalui prosedur koreksi.</x:v>
      </x:c>
    </x:row>
    <x:row r="195" ht="100" customHeight="1">
      <x:c r="A195" s="8" t="str">
        <x:v>F18 Transaksi / penyelesaian antarunit</x:v>
      </x:c>
      <x:c r="B195" s="8" t="str">
        <x:v>Finance unit / HO</x:v>
      </x:c>
      <x:c r="C195" s="8" t="str">
        <x:v>Unit lawan</x:v>
      </x:c>
      <x:c r="D195" s="8" t="str">
        <x:v>Dropdown</x:v>
      </x:c>
      <x:c r="E195" s="8" t="str">
        <x:v>Ya</x:v>
      </x:c>
      <x:c r="F195" s="8" t="str">
        <x:v>Unit/pihak afiliasi sah</x:v>
      </x:c>
      <x:c r="G195" s="8" t="str">
        <x:v>Berbeda dari unit sendiri</x:v>
      </x:c>
      <x:c r="H195" s="8" t="str">
        <x:v>Draf atau dikembalikan; sesudah diajukan baca saja. Revisi setelah posted melalui prosedur koreksi.</x:v>
      </x:c>
    </x:row>
    <x:row r="196" ht="100" customHeight="1">
      <x:c r="A196" s="8" t="str">
        <x:v>F18 Transaksi / penyelesaian antarunit</x:v>
      </x:c>
      <x:c r="B196" s="8" t="str">
        <x:v>Finance unit / HO</x:v>
      </x:c>
      <x:c r="C196" s="8" t="str">
        <x:v>Jenis tindakan</x:v>
      </x:c>
      <x:c r="D196" s="8" t="str">
        <x:v>Pilihan</x:v>
      </x:c>
      <x:c r="E196" s="8" t="str">
        <x:v>Ya</x:v>
      </x:c>
      <x:c r="F196" s="8" t="str">
        <x:v>Bentuk saldo; alokasi biaya; penyelesaian</x:v>
      </x:c>
      <x:c r="G196" s="8" t="str">
        <x:v>Field dan rule mengikuti jenis hubungan</x:v>
      </x:c>
      <x:c r="H196" s="8" t="str">
        <x:v>Draf atau dikembalikan; sesudah diajukan baca saja. Revisi setelah posted melalui prosedur koreksi.</x:v>
      </x:c>
    </x:row>
    <x:row r="197" ht="100" customHeight="1">
      <x:c r="A197" s="8" t="str">
        <x:v>F18 Transaksi / penyelesaian antarunit</x:v>
      </x:c>
      <x:c r="B197" s="8" t="str">
        <x:v>Finance unit / HO</x:v>
      </x:c>
      <x:c r="C197" s="8" t="str">
        <x:v>Dokumen sumber</x:v>
      </x:c>
      <x:c r="D197" s="8" t="str">
        <x:v>Referensi</x:v>
      </x:c>
      <x:c r="E197" s="8" t="str">
        <x:v>Ya</x:v>
      </x:c>
      <x:c r="F197" s="8" t="str">
        <x:v>Shipment/keputusan pembiayaan/alokasi</x:v>
      </x:c>
      <x:c r="G197" s="8" t="str">
        <x:v>Barang membaca sumber operasi, bukan dibuat ulang</x:v>
      </x:c>
      <x:c r="H197" s="8" t="str">
        <x:v>Draf atau dikembalikan; sesudah diajukan baca saja. Revisi setelah posted melalui prosedur koreksi.</x:v>
      </x:c>
    </x:row>
    <x:row r="198" ht="100" customHeight="1">
      <x:c r="A198" s="8" t="str">
        <x:v>F18 Transaksi / penyelesaian antarunit</x:v>
      </x:c>
      <x:c r="B198" s="8" t="str">
        <x:v>Finance unit / HO</x:v>
      </x:c>
      <x:c r="C198" s="8" t="str">
        <x:v>Nominal Rp</x:v>
      </x:c>
      <x:c r="D198" s="8" t="str">
        <x:v>Nominal</x:v>
      </x:c>
      <x:c r="E198" s="8" t="str">
        <x:v>Ya</x:v>
      </x:c>
      <x:c r="F198" s="8" t="str">
        <x:v>Sumber/sisa saldo</x:v>
      </x:c>
      <x:c r="G198" s="8" t="str">
        <x:v>Penyelesaian tidak melebihi bagian yang dipilih</x:v>
      </x:c>
      <x:c r="H198" s="8" t="str">
        <x:v>Draf atau dikembalikan; sesudah diajukan baca saja. Revisi setelah posted melalui prosedur koreksi.</x:v>
      </x:c>
    </x:row>
    <x:row r="199" ht="100" customHeight="1">
      <x:c r="A199" s="8" t="str">
        <x:v>F18 Transaksi / penyelesaian antarunit</x:v>
      </x:c>
      <x:c r="B199" s="8" t="str">
        <x:v>Finance unit / HO</x:v>
      </x:c>
      <x:c r="C199" s="8" t="str">
        <x:v>Pembayaran dan alokasi</x:v>
      </x:c>
      <x:c r="D199" s="8" t="str">
        <x:v>Referensi/tabel</x:v>
      </x:c>
      <x:c r="E199" s="8" t="str">
        <x:v>Untuk pelunasan</x:v>
      </x:c>
      <x:c r="F199" s="8" t="str">
        <x:v>F02/F03</x:v>
      </x:c>
      <x:c r="G199" s="8" t="str">
        <x:v>Mengurangi keluarga yang sama; kedua pihak tertaut</x:v>
      </x:c>
      <x:c r="H199" s="8" t="str">
        <x:v>Draf atau dikembalikan; sesudah diajukan baca saja. Revisi setelah posted melalui prosedur koreksi.</x:v>
      </x:c>
    </x:row>
    <x:row r="200" ht="100" customHeight="1">
      <x:c r="A200" s="8" t="str">
        <x:v>F18 Transaksi / penyelesaian antarunit</x:v>
      </x:c>
      <x:c r="B200" s="8" t="str">
        <x:v>Finance unit / HO</x:v>
      </x:c>
      <x:c r="C200" s="8" t="str">
        <x:v>Dasar/konfirmasi lawan</x:v>
      </x:c>
      <x:c r="D200" s="8" t="str">
        <x:v>Dokumen/referensi</x:v>
      </x:c>
      <x:c r="E200" s="8" t="str">
        <x:v>Sesuai jenis</x:v>
      </x:c>
      <x:c r="F200" s="8" t="str">
        <x:v>Pihak terkait</x:v>
      </x:c>
      <x:c r="G200" s="8" t="str">
        <x:v>Saldo dua pihak dapat direkonsiliasi</x:v>
      </x:c>
      <x:c r="H200" s="8" t="str">
        <x:v>Draf atau dikembalikan; sesudah diajukan baca saja. Revisi setelah posted melalui prosedur koreksi.</x:v>
      </x:c>
    </x:row>
    <x:row r="201" ht="100" customHeight="1">
      <x:c r="A201" s="8" t="str">
        <x:v>F19 Rekonsiliasi saldo / kasus selisih</x:v>
      </x:c>
      <x:c r="B201" s="8" t="str">
        <x:v>Pemilik register / Akuntansi</x:v>
      </x:c>
      <x:c r="C201" s="8" t="str">
        <x:v>Unit/periode/kelompok</x:v>
      </x:c>
      <x:c r="D201" s="8" t="str">
        <x:v>Referensi</x:v>
      </x:c>
      <x:c r="E201" s="8" t="str">
        <x:v>Ya</x:v>
      </x:c>
      <x:c r="F201" s="8" t="str">
        <x:v>Konteks rekonsiliasi</x:v>
      </x:c>
      <x:c r="G201" s="8" t="str">
        <x:v>Cakupan jelas</x:v>
      </x:c>
      <x:c r="H201" s="8" t="str">
        <x:v>Draf atau dikembalikan; sesudah diajukan baca saja. Revisi setelah posted melalui prosedur koreksi.</x:v>
      </x:c>
    </x:row>
    <x:row r="202" ht="100" customHeight="1">
      <x:c r="A202" s="8" t="str">
        <x:v>F19 Rekonsiliasi saldo / kasus selisih</x:v>
      </x:c>
      <x:c r="B202" s="8" t="str">
        <x:v>Pemilik register / Akuntansi</x:v>
      </x:c>
      <x:c r="C202" s="8" t="str">
        <x:v>Saldo GL / pihak pertama Rp</x:v>
      </x:c>
      <x:c r="D202" s="8" t="str">
        <x:v>Baca saja</x:v>
      </x:c>
      <x:c r="E202" s="8" t="str">
        <x:v>Otomatis</x:v>
      </x:c>
      <x:c r="F202" s="8" t="str">
        <x:v>Buku/sumber</x:v>
      </x:c>
      <x:c r="G202" s="8" t="str">
        <x:v>Tanggal posisi sama</x:v>
      </x:c>
      <x:c r="H202" s="8" t="str">
        <x:v>Draf atau dikembalikan; sesudah diajukan baca saja. Revisi setelah posted melalui prosedur koreksi.</x:v>
      </x:c>
    </x:row>
    <x:row r="203" ht="100" customHeight="1">
      <x:c r="A203" s="8" t="str">
        <x:v>F19 Rekonsiliasi saldo / kasus selisih</x:v>
      </x:c>
      <x:c r="B203" s="8" t="str">
        <x:v>Pemilik register / Akuntansi</x:v>
      </x:c>
      <x:c r="C203" s="8" t="str">
        <x:v>Saldo rincian / pihak kedua Rp</x:v>
      </x:c>
      <x:c r="D203" s="8" t="str">
        <x:v>Baca saja</x:v>
      </x:c>
      <x:c r="E203" s="8" t="str">
        <x:v>Otomatis</x:v>
      </x:c>
      <x:c r="F203" s="8" t="str">
        <x:v>Register/pihak lawan</x:v>
      </x:c>
      <x:c r="G203" s="8" t="str">
        <x:v>Tidak diedit agar cocok</x:v>
      </x:c>
      <x:c r="H203" s="8" t="str">
        <x:v>Draf atau dikembalikan; sesudah diajukan baca saja. Revisi setelah posted melalui prosedur koreksi.</x:v>
      </x:c>
    </x:row>
    <x:row r="204" ht="100" customHeight="1">
      <x:c r="A204" s="8" t="str">
        <x:v>F19 Rekonsiliasi saldo / kasus selisih</x:v>
      </x:c>
      <x:c r="B204" s="8" t="str">
        <x:v>Pemilik register / Akuntansi</x:v>
      </x:c>
      <x:c r="C204" s="8" t="str">
        <x:v>Kasus selisih</x:v>
      </x:c>
      <x:c r="D204" s="8" t="str">
        <x:v>Tabel anak</x:v>
      </x:c>
      <x:c r="E204" s="8" t="str">
        <x:v>Jika ada</x:v>
      </x:c>
      <x:c r="F204" s="8" t="str">
        <x:v>Perbandingan sumber</x:v>
      </x:c>
      <x:c r="G204" s="8" t="str">
        <x:v>Nominal, penyebab, owner dan sumber koreksi</x:v>
      </x:c>
      <x:c r="H204" s="8" t="str">
        <x:v>Draf atau dikembalikan; sesudah diajukan baca saja. Revisi setelah posted melalui prosedur koreksi.</x:v>
      </x:c>
    </x:row>
    <x:row r="205" ht="100" customHeight="1">
      <x:c r="A205" s="8" t="str">
        <x:v>F19 Rekonsiliasi saldo / kasus selisih</x:v>
      </x:c>
      <x:c r="B205" s="8" t="str">
        <x:v>Pemilik register / Akuntansi</x:v>
      </x:c>
      <x:c r="C205" s="8" t="str">
        <x:v>Bukti dan kesimpulan</x:v>
      </x:c>
      <x:c r="D205" s="8" t="str">
        <x:v>Dokumen + teks</x:v>
      </x:c>
      <x:c r="E205" s="8" t="str">
        <x:v>Saat review</x:v>
      </x:c>
      <x:c r="F205" s="8" t="str">
        <x:v>Pemilik rekonsiliasi</x:v>
      </x:c>
      <x:c r="G205" s="8" t="str">
        <x:v>Selisih diselesaikan pada sumber atau pengecualian sah</x:v>
      </x:c>
      <x:c r="H205" s="8" t="str">
        <x:v>Draf atau dikembalikan; sesudah diajukan baca saja. Revisi setelah posted melalui prosedur koreksi.</x:v>
      </x:c>
    </x:row>
    <x:row r="206" ht="100" customHeight="1">
      <x:c r="A206" s="8" t="str">
        <x:v>F20 Proyek / kapitalisasi aset</x:v>
      </x:c>
      <x:c r="B206" s="8" t="str">
        <x:v>Akuntan aset</x:v>
      </x:c>
      <x:c r="C206" s="8" t="str">
        <x:v>Nomor dokumen</x:v>
      </x:c>
      <x:c r="D206" s="8" t="str">
        <x:v>Baca saja</x:v>
      </x:c>
      <x:c r="E206" s="8" t="str">
        <x:v>Otomatis</x:v>
      </x:c>
      <x:c r="F206" s="8" t="str">
        <x:v>Sistem</x:v>
      </x:c>
      <x:c r="G206" s="8" t="str">
        <x:v>Tetap satu ID; versi berubah jika revisi</x:v>
      </x:c>
      <x:c r="H206" s="8" t="str">
        <x:v>Draf atau dikembalikan; sesudah diajukan baca saja. Revisi setelah posted melalui prosedur koreksi.</x:v>
      </x:c>
    </x:row>
    <x:row r="207" ht="100" customHeight="1">
      <x:c r="A207" s="8" t="str">
        <x:v>F20 Proyek / kapitalisasi aset</x:v>
      </x:c>
      <x:c r="B207" s="8" t="str">
        <x:v>Akuntan aset</x:v>
      </x:c>
      <x:c r="C207" s="8" t="str">
        <x:v>Unit</x:v>
      </x:c>
      <x:c r="D207" s="8" t="str">
        <x:v>Dropdown</x:v>
      </x:c>
      <x:c r="E207" s="8" t="str">
        <x:v>Ya</x:v>
      </x:c>
      <x:c r="F207" s="8" t="str">
        <x:v>Unit yang boleh diakses</x:v>
      </x:c>
      <x:c r="G207" s="8" t="str">
        <x:v>Akun, pihak dan transaksi sesuai unit</x:v>
      </x:c>
      <x:c r="H207" s="8" t="str">
        <x:v>Draf atau dikembalikan; sesudah diajukan baca saja. Revisi setelah posted melalui prosedur koreksi.</x:v>
      </x:c>
    </x:row>
    <x:row r="208" ht="100" customHeight="1">
      <x:c r="A208" s="8" t="str">
        <x:v>F20 Proyek / kapitalisasi aset</x:v>
      </x:c>
      <x:c r="B208" s="8" t="str">
        <x:v>Akuntan aset</x:v>
      </x:c>
      <x:c r="C208" s="8" t="str">
        <x:v>Tanggal transaksi</x:v>
      </x:c>
      <x:c r="D208" s="8" t="str">
        <x:v>Tanggal</x:v>
      </x:c>
      <x:c r="E208" s="8" t="str">
        <x:v>Ya</x:v>
      </x:c>
      <x:c r="F208" s="8" t="str">
        <x:v>Pengguna</x:v>
      </x:c>
      <x:c r="G208" s="8" t="str">
        <x:v>Periode harus terbuka untuk posting baru</x:v>
      </x:c>
      <x:c r="H208" s="8" t="str">
        <x:v>Draf atau dikembalikan; sesudah diajukan baca saja. Revisi setelah posted melalui prosedur koreksi.</x:v>
      </x:c>
    </x:row>
    <x:row r="209" ht="100" customHeight="1">
      <x:c r="A209" s="8" t="str">
        <x:v>F20 Proyek / kapitalisasi aset</x:v>
      </x:c>
      <x:c r="B209" s="8" t="str">
        <x:v>Akuntan aset</x:v>
      </x:c>
      <x:c r="C209" s="8" t="str">
        <x:v>Keterangan</x:v>
      </x:c>
      <x:c r="D209" s="8" t="str">
        <x:v>Teks</x:v>
      </x:c>
      <x:c r="E209" s="8" t="str">
        <x:v>Sesuai konteks</x:v>
      </x:c>
      <x:c r="F209" s="8" t="str">
        <x:v>Pengguna</x:v>
      </x:c>
      <x:c r="G209" s="8" t="str">
        <x:v>Alasan wajib untuk koreksi atau pengecualian</x:v>
      </x:c>
      <x:c r="H209" s="8" t="str">
        <x:v>Draf atau dikembalikan; sesudah diajukan baca saja. Revisi setelah posted melalui prosedur koreksi.</x:v>
      </x:c>
    </x:row>
    <x:row r="210" ht="100" customHeight="1">
      <x:c r="A210" s="8" t="str">
        <x:v>F20 Proyek / kapitalisasi aset</x:v>
      </x:c>
      <x:c r="B210" s="8" t="str">
        <x:v>Akuntan aset</x:v>
      </x:c>
      <x:c r="C210" s="8" t="str">
        <x:v>Lampiran</x:v>
      </x:c>
      <x:c r="D210" s="8" t="str">
        <x:v>Upload dokumen</x:v>
      </x:c>
      <x:c r="E210" s="8" t="str">
        <x:v>Sesuai jenis</x:v>
      </x:c>
      <x:c r="F210" s="8" t="str">
        <x:v>Pengguna</x:v>
      </x:c>
      <x:c r="G210" s="8" t="str">
        <x:v>Jenis/ukuran sesuai konfigurasi; status unggah terlihat</x:v>
      </x:c>
      <x:c r="H210" s="8" t="str">
        <x:v>Draf atau dikembalikan; sesudah diajukan baca saja. Revisi setelah posted melalui prosedur koreksi.</x:v>
      </x:c>
    </x:row>
    <x:row r="211" ht="100" customHeight="1">
      <x:c r="A211" s="8" t="str">
        <x:v>F20 Proyek / kapitalisasi aset</x:v>
      </x:c>
      <x:c r="B211" s="8" t="str">
        <x:v>Akuntan aset</x:v>
      </x:c>
      <x:c r="C211" s="8" t="str">
        <x:v>Jenis tindakan</x:v>
      </x:c>
      <x:c r="D211" s="8" t="str">
        <x:v>Pilihan</x:v>
      </x:c>
      <x:c r="E211" s="8" t="str">
        <x:v>Ya</x:v>
      </x:c>
      <x:c r="F211" s="8" t="str">
        <x:v>Buat proyek; tautkan biaya; kapitalisasi</x:v>
      </x:c>
      <x:c r="G211" s="8" t="str">
        <x:v>Form mengikuti tindakan</x:v>
      </x:c>
      <x:c r="H211" s="8" t="str">
        <x:v>Draf atau dikembalikan; sesudah diajukan baca saja. Revisi setelah posted melalui prosedur koreksi.</x:v>
      </x:c>
    </x:row>
    <x:row r="212" ht="100" customHeight="1">
      <x:c r="A212" s="8" t="str">
        <x:v>F20 Proyek / kapitalisasi aset</x:v>
      </x:c>
      <x:c r="B212" s="8" t="str">
        <x:v>Akuntan aset</x:v>
      </x:c>
      <x:c r="C212" s="8" t="str">
        <x:v>Proyek</x:v>
      </x:c>
      <x:c r="D212" s="8" t="str">
        <x:v>Referensi</x:v>
      </x:c>
      <x:c r="E212" s="8" t="str">
        <x:v>Jika terkait proyek</x:v>
      </x:c>
      <x:c r="F212" s="8" t="str">
        <x:v>Register proyek</x:v>
      </x:c>
      <x:c r="G212" s="8" t="str">
        <x:v>Unit dan owner jelas</x:v>
      </x:c>
      <x:c r="H212" s="8" t="str">
        <x:v>Draf atau dikembalikan; sesudah diajukan baca saja. Revisi setelah posted melalui prosedur koreksi.</x:v>
      </x:c>
    </x:row>
    <x:row r="213" ht="100" customHeight="1">
      <x:c r="A213" s="8" t="str">
        <x:v>F20 Proyek / kapitalisasi aset</x:v>
      </x:c>
      <x:c r="B213" s="8" t="str">
        <x:v>Akuntan aset</x:v>
      </x:c>
      <x:c r="C213" s="8" t="str">
        <x:v>Biaya sumber</x:v>
      </x:c>
      <x:c r="D213" s="8" t="str">
        <x:v>Tabel anak</x:v>
      </x:c>
      <x:c r="E213" s="8" t="str">
        <x:v>Ya untuk kapitalisasi</x:v>
      </x:c>
      <x:c r="F213" s="8" t="str">
        <x:v>Baris tagihan/proyek</x:v>
      </x:c>
      <x:c r="G213" s="8" t="str">
        <x:v>Tidak dialokasikan dua kali atau melebihi sisa</x:v>
      </x:c>
      <x:c r="H213" s="8" t="str">
        <x:v>Draf atau dikembalikan; sesudah diajukan baca saja. Revisi setelah posted melalui prosedur koreksi.</x:v>
      </x:c>
    </x:row>
    <x:row r="214" ht="100" customHeight="1">
      <x:c r="A214" s="8" t="str">
        <x:v>F20 Proyek / kapitalisasi aset</x:v>
      </x:c>
      <x:c r="B214" s="8" t="str">
        <x:v>Akuntan aset</x:v>
      </x:c>
      <x:c r="C214" s="8" t="str">
        <x:v>Komponen aset/kelas</x:v>
      </x:c>
      <x:c r="D214" s="8" t="str">
        <x:v>Tabel anak</x:v>
      </x:c>
      <x:c r="E214" s="8" t="str">
        <x:v>Ya untuk kapitalisasi</x:v>
      </x:c>
      <x:c r="F214" s="8" t="str">
        <x:v>Master aset/kebijakan</x:v>
      </x:c>
      <x:c r="G214" s="8" t="str">
        <x:v>Kelas tidak default satu jenis untuk semua aset</x:v>
      </x:c>
      <x:c r="H214" s="8" t="str">
        <x:v>Draf atau dikembalikan; sesudah diajukan baca saja. Revisi setelah posted melalui prosedur koreksi.</x:v>
      </x:c>
    </x:row>
    <x:row r="215" ht="100" customHeight="1">
      <x:c r="A215" s="8" t="str">
        <x:v>F20 Proyek / kapitalisasi aset</x:v>
      </x:c>
      <x:c r="B215" s="8" t="str">
        <x:v>Akuntan aset</x:v>
      </x:c>
      <x:c r="C215" s="8" t="str">
        <x:v>Tanggal siap pakai</x:v>
      </x:c>
      <x:c r="D215" s="8" t="str">
        <x:v>Tanggal</x:v>
      </x:c>
      <x:c r="E215" s="8" t="str">
        <x:v>Saat kapitalisasi</x:v>
      </x:c>
      <x:c r="F215" s="8" t="str">
        <x:v>Bukti operasional</x:v>
      </x:c>
      <x:c r="G215" s="8" t="str">
        <x:v>Dasar awal penyusutan menurut kebijakan</x:v>
      </x:c>
      <x:c r="H215" s="8" t="str">
        <x:v>Draf atau dikembalikan; sesudah diajukan baca saja. Revisi setelah posted melalui prosedur koreksi.</x:v>
      </x:c>
    </x:row>
    <x:row r="216" ht="100" customHeight="1">
      <x:c r="A216" s="8" t="str">
        <x:v>F20 Proyek / kapitalisasi aset</x:v>
      </x:c>
      <x:c r="B216" s="8" t="str">
        <x:v>Akuntan aset</x:v>
      </x:c>
      <x:c r="C216" s="8" t="str">
        <x:v>Umur manfaat/metode</x:v>
      </x:c>
      <x:c r="D216" s="8" t="str">
        <x:v>Pilihan/angka</x:v>
      </x:c>
      <x:c r="E216" s="8" t="str">
        <x:v>Sesuai kelas</x:v>
      </x:c>
      <x:c r="F216" s="8" t="str">
        <x:v>Kebijakan disahkan</x:v>
      </x:c>
      <x:c r="G216" s="8" t="str">
        <x:v>Tidak mengarang kebijakan umur manfaat</x:v>
      </x:c>
      <x:c r="H216" s="8" t="str">
        <x:v>Draf atau dikembalikan; sesudah diajukan baca saja. Revisi setelah posted melalui prosedur koreksi.</x:v>
      </x:c>
    </x:row>
    <x:row r="217" ht="100" customHeight="1">
      <x:c r="A217" s="8" t="str">
        <x:v>F20 Proyek / kapitalisasi aset</x:v>
      </x:c>
      <x:c r="B217" s="8" t="str">
        <x:v>Akuntan aset</x:v>
      </x:c>
      <x:c r="C217" s="8" t="str">
        <x:v>Nilai kapitalisasi Rp</x:v>
      </x:c>
      <x:c r="D217" s="8" t="str">
        <x:v>Baca saja</x:v>
      </x:c>
      <x:c r="E217" s="8" t="str">
        <x:v>Otomatis</x:v>
      </x:c>
      <x:c r="F217" s="8" t="str">
        <x:v>Biaya disetujui</x:v>
      </x:c>
      <x:c r="G217" s="8" t="str">
        <x:v>Sisa biaya dibebankan/ditahan dengan dasar</x:v>
      </x:c>
      <x:c r="H217" s="8" t="str">
        <x:v>Draf atau dikembalikan; sesudah diajukan baca saja. Revisi setelah posted melalui prosedur koreksi.</x:v>
      </x:c>
    </x:row>
    <x:row r="218" ht="100" customHeight="1">
      <x:c r="A218" s="8" t="str">
        <x:v>F21 Transfer / pelepasan aset</x:v>
      </x:c>
      <x:c r="B218" s="8" t="str">
        <x:v>Akuntan aset / reviewer</x:v>
      </x:c>
      <x:c r="C218" s="8" t="str">
        <x:v>Nomor dokumen</x:v>
      </x:c>
      <x:c r="D218" s="8" t="str">
        <x:v>Baca saja</x:v>
      </x:c>
      <x:c r="E218" s="8" t="str">
        <x:v>Otomatis</x:v>
      </x:c>
      <x:c r="F218" s="8" t="str">
        <x:v>Sistem</x:v>
      </x:c>
      <x:c r="G218" s="8" t="str">
        <x:v>Tetap satu ID; versi berubah jika revisi</x:v>
      </x:c>
      <x:c r="H218" s="8" t="str">
        <x:v>Draf atau dikembalikan; sesudah diajukan baca saja. Revisi setelah posted melalui prosedur koreksi.</x:v>
      </x:c>
    </x:row>
    <x:row r="219" ht="100" customHeight="1">
      <x:c r="A219" s="8" t="str">
        <x:v>F21 Transfer / pelepasan aset</x:v>
      </x:c>
      <x:c r="B219" s="8" t="str">
        <x:v>Akuntan aset / reviewer</x:v>
      </x:c>
      <x:c r="C219" s="8" t="str">
        <x:v>Unit</x:v>
      </x:c>
      <x:c r="D219" s="8" t="str">
        <x:v>Dropdown</x:v>
      </x:c>
      <x:c r="E219" s="8" t="str">
        <x:v>Ya</x:v>
      </x:c>
      <x:c r="F219" s="8" t="str">
        <x:v>Unit yang boleh diakses</x:v>
      </x:c>
      <x:c r="G219" s="8" t="str">
        <x:v>Akun, pihak dan transaksi sesuai unit</x:v>
      </x:c>
      <x:c r="H219" s="8" t="str">
        <x:v>Draf atau dikembalikan; sesudah diajukan baca saja. Revisi setelah posted melalui prosedur koreksi.</x:v>
      </x:c>
    </x:row>
    <x:row r="220" ht="100" customHeight="1">
      <x:c r="A220" s="8" t="str">
        <x:v>F21 Transfer / pelepasan aset</x:v>
      </x:c>
      <x:c r="B220" s="8" t="str">
        <x:v>Akuntan aset / reviewer</x:v>
      </x:c>
      <x:c r="C220" s="8" t="str">
        <x:v>Tanggal transaksi</x:v>
      </x:c>
      <x:c r="D220" s="8" t="str">
        <x:v>Tanggal</x:v>
      </x:c>
      <x:c r="E220" s="8" t="str">
        <x:v>Ya</x:v>
      </x:c>
      <x:c r="F220" s="8" t="str">
        <x:v>Pengguna</x:v>
      </x:c>
      <x:c r="G220" s="8" t="str">
        <x:v>Periode harus terbuka untuk posting baru</x:v>
      </x:c>
      <x:c r="H220" s="8" t="str">
        <x:v>Draf atau dikembalikan; sesudah diajukan baca saja. Revisi setelah posted melalui prosedur koreksi.</x:v>
      </x:c>
    </x:row>
    <x:row r="221" ht="100" customHeight="1">
      <x:c r="A221" s="8" t="str">
        <x:v>F21 Transfer / pelepasan aset</x:v>
      </x:c>
      <x:c r="B221" s="8" t="str">
        <x:v>Akuntan aset / reviewer</x:v>
      </x:c>
      <x:c r="C221" s="8" t="str">
        <x:v>Keterangan</x:v>
      </x:c>
      <x:c r="D221" s="8" t="str">
        <x:v>Teks</x:v>
      </x:c>
      <x:c r="E221" s="8" t="str">
        <x:v>Sesuai konteks</x:v>
      </x:c>
      <x:c r="F221" s="8" t="str">
        <x:v>Pengguna</x:v>
      </x:c>
      <x:c r="G221" s="8" t="str">
        <x:v>Alasan wajib untuk koreksi atau pengecualian</x:v>
      </x:c>
      <x:c r="H221" s="8" t="str">
        <x:v>Draf atau dikembalikan; sesudah diajukan baca saja. Revisi setelah posted melalui prosedur koreksi.</x:v>
      </x:c>
    </x:row>
    <x:row r="222" ht="100" customHeight="1">
      <x:c r="A222" s="8" t="str">
        <x:v>F21 Transfer / pelepasan aset</x:v>
      </x:c>
      <x:c r="B222" s="8" t="str">
        <x:v>Akuntan aset / reviewer</x:v>
      </x:c>
      <x:c r="C222" s="8" t="str">
        <x:v>Lampiran</x:v>
      </x:c>
      <x:c r="D222" s="8" t="str">
        <x:v>Upload dokumen</x:v>
      </x:c>
      <x:c r="E222" s="8" t="str">
        <x:v>Sesuai jenis</x:v>
      </x:c>
      <x:c r="F222" s="8" t="str">
        <x:v>Pengguna</x:v>
      </x:c>
      <x:c r="G222" s="8" t="str">
        <x:v>Jenis/ukuran sesuai konfigurasi; status unggah terlihat</x:v>
      </x:c>
      <x:c r="H222" s="8" t="str">
        <x:v>Draf atau dikembalikan; sesudah diajukan baca saja. Revisi setelah posted melalui prosedur koreksi.</x:v>
      </x:c>
    </x:row>
    <x:row r="223" ht="100" customHeight="1">
      <x:c r="A223" s="8" t="str">
        <x:v>F21 Transfer / pelepasan aset</x:v>
      </x:c>
      <x:c r="B223" s="8" t="str">
        <x:v>Akuntan aset / reviewer</x:v>
      </x:c>
      <x:c r="C223" s="8" t="str">
        <x:v>Aset</x:v>
      </x:c>
      <x:c r="D223" s="8" t="str">
        <x:v>Referensi</x:v>
      </x:c>
      <x:c r="E223" s="8" t="str">
        <x:v>Ya</x:v>
      </x:c>
      <x:c r="F223" s="8" t="str">
        <x:v>Register aset</x:v>
      </x:c>
      <x:c r="G223" s="8" t="str">
        <x:v>Status memungkinkan tindakan</x:v>
      </x:c>
      <x:c r="H223" s="8" t="str">
        <x:v>Draf atau dikembalikan; sesudah diajukan baca saja. Revisi setelah posted melalui prosedur koreksi.</x:v>
      </x:c>
    </x:row>
    <x:row r="224" ht="100" customHeight="1">
      <x:c r="A224" s="8" t="str">
        <x:v>F21 Transfer / pelepasan aset</x:v>
      </x:c>
      <x:c r="B224" s="8" t="str">
        <x:v>Akuntan aset / reviewer</x:v>
      </x:c>
      <x:c r="C224" s="8" t="str">
        <x:v>Jenis tindakan</x:v>
      </x:c>
      <x:c r="D224" s="8" t="str">
        <x:v>Dropdown</x:v>
      </x:c>
      <x:c r="E224" s="8" t="str">
        <x:v>Ya</x:v>
      </x:c>
      <x:c r="F224" s="8" t="str">
        <x:v>Transfer; jual; hapus sesuai mandat</x:v>
      </x:c>
      <x:c r="G224" s="8" t="str">
        <x:v>Field sumber/penerima mengikuti jenis</x:v>
      </x:c>
      <x:c r="H224" s="8" t="str">
        <x:v>Draf atau dikembalikan; sesudah diajukan baca saja. Revisi setelah posted melalui prosedur koreksi.</x:v>
      </x:c>
    </x:row>
    <x:row r="225" ht="100" customHeight="1">
      <x:c r="A225" s="8" t="str">
        <x:v>F21 Transfer / pelepasan aset</x:v>
      </x:c>
      <x:c r="B225" s="8" t="str">
        <x:v>Akuntan aset / reviewer</x:v>
      </x:c>
      <x:c r="C225" s="8" t="str">
        <x:v>Tujuan/pihak</x:v>
      </x:c>
      <x:c r="D225" s="8" t="str">
        <x:v>Referensi</x:v>
      </x:c>
      <x:c r="E225" s="8" t="str">
        <x:v>Sesuai tindakan</x:v>
      </x:c>
      <x:c r="F225" s="8" t="str">
        <x:v>Unit/pembeli</x:v>
      </x:c>
      <x:c r="G225" s="8" t="str">
        <x:v>Transfer beda unit memicu pasangan yang sesuai</x:v>
      </x:c>
      <x:c r="H225" s="8" t="str">
        <x:v>Draf atau dikembalikan; sesudah diajukan baca saja. Revisi setelah posted melalui prosedur koreksi.</x:v>
      </x:c>
    </x:row>
    <x:row r="226" ht="100" customHeight="1">
      <x:c r="A226" s="8" t="str">
        <x:v>F21 Transfer / pelepasan aset</x:v>
      </x:c>
      <x:c r="B226" s="8" t="str">
        <x:v>Akuntan aset / reviewer</x:v>
      </x:c>
      <x:c r="C226" s="8" t="str">
        <x:v>Nilai buku Rp</x:v>
      </x:c>
      <x:c r="D226" s="8" t="str">
        <x:v>Baca saja</x:v>
      </x:c>
      <x:c r="E226" s="8" t="str">
        <x:v>Otomatis</x:v>
      </x:c>
      <x:c r="F226" s="8" t="str">
        <x:v>Register + GL tanggal efektif</x:v>
      </x:c>
      <x:c r="G226" s="8" t="str">
        <x:v>Tidak diketik manual</x:v>
      </x:c>
      <x:c r="H226" s="8" t="str">
        <x:v>Draf atau dikembalikan; sesudah diajukan baca saja. Revisi setelah posted melalui prosedur koreksi.</x:v>
      </x:c>
    </x:row>
    <x:row r="227" ht="100" customHeight="1">
      <x:c r="A227" s="8" t="str">
        <x:v>F21 Transfer / pelepasan aset</x:v>
      </x:c>
      <x:c r="B227" s="8" t="str">
        <x:v>Akuntan aset / reviewer</x:v>
      </x:c>
      <x:c r="C227" s="8" t="str">
        <x:v>Nilai pelepasan Rp</x:v>
      </x:c>
      <x:c r="D227" s="8" t="str">
        <x:v>Nominal</x:v>
      </x:c>
      <x:c r="E227" s="8" t="str">
        <x:v>Jika dijual</x:v>
      </x:c>
      <x:c r="F227" s="8" t="str">
        <x:v>Keputusan/dokumen penjualan</x:v>
      </x:c>
      <x:c r="G227" s="8" t="str">
        <x:v>Penerimaan ditautkan melalui F03</x:v>
      </x:c>
      <x:c r="H227" s="8" t="str">
        <x:v>Draf atau dikembalikan; sesudah diajukan baca saja. Revisi setelah posted melalui prosedur koreksi.</x:v>
      </x:c>
    </x:row>
    <x:row r="228" ht="100" customHeight="1">
      <x:c r="A228" s="8" t="str">
        <x:v>F21 Transfer / pelepasan aset</x:v>
      </x:c>
      <x:c r="B228" s="8" t="str">
        <x:v>Akuntan aset / reviewer</x:v>
      </x:c>
      <x:c r="C228" s="8" t="str">
        <x:v>Bukti serah terima/keputusan</x:v>
      </x:c>
      <x:c r="D228" s="8" t="str">
        <x:v>Dokumen</x:v>
      </x:c>
      <x:c r="E228" s="8" t="str">
        <x:v>Ya</x:v>
      </x:c>
      <x:c r="F228" s="8" t="str">
        <x:v>Owner aset/reviewer</x:v>
      </x:c>
      <x:c r="G228" s="8" t="str">
        <x:v>Tidak menyatakan selesai tanpa hasil pelaksanaan</x:v>
      </x:c>
      <x:c r="H228" s="8" t="str">
        <x:v>Draf atau dikembalikan; sesudah diajukan baca saja. Revisi setelah posted melalui prosedur koreksi.</x:v>
      </x:c>
    </x:row>
    <x:row r="229" ht="100" customHeight="1">
      <x:c r="A229" s="8" t="str">
        <x:v>F22 Jadwal pengakuan / posting periodik</x:v>
      </x:c>
      <x:c r="B229" s="8" t="str">
        <x:v>Akuntansi</x:v>
      </x:c>
      <x:c r="C229" s="8" t="str">
        <x:v>Nomor dokumen</x:v>
      </x:c>
      <x:c r="D229" s="8" t="str">
        <x:v>Baca saja</x:v>
      </x:c>
      <x:c r="E229" s="8" t="str">
        <x:v>Otomatis</x:v>
      </x:c>
      <x:c r="F229" s="8" t="str">
        <x:v>Sistem</x:v>
      </x:c>
      <x:c r="G229" s="8" t="str">
        <x:v>Tetap satu ID; versi berubah jika revisi</x:v>
      </x:c>
      <x:c r="H229" s="8" t="str">
        <x:v>Draf atau dikembalikan; sesudah diajukan baca saja. Revisi setelah posted melalui prosedur koreksi.</x:v>
      </x:c>
    </x:row>
    <x:row r="230" ht="100" customHeight="1">
      <x:c r="A230" s="8" t="str">
        <x:v>F22 Jadwal pengakuan / posting periodik</x:v>
      </x:c>
      <x:c r="B230" s="8" t="str">
        <x:v>Akuntansi</x:v>
      </x:c>
      <x:c r="C230" s="8" t="str">
        <x:v>Unit</x:v>
      </x:c>
      <x:c r="D230" s="8" t="str">
        <x:v>Dropdown</x:v>
      </x:c>
      <x:c r="E230" s="8" t="str">
        <x:v>Ya</x:v>
      </x:c>
      <x:c r="F230" s="8" t="str">
        <x:v>Unit yang boleh diakses</x:v>
      </x:c>
      <x:c r="G230" s="8" t="str">
        <x:v>Akun, pihak dan transaksi sesuai unit</x:v>
      </x:c>
      <x:c r="H230" s="8" t="str">
        <x:v>Draf atau dikembalikan; sesudah diajukan baca saja. Revisi setelah posted melalui prosedur koreksi.</x:v>
      </x:c>
    </x:row>
    <x:row r="231" ht="100" customHeight="1">
      <x:c r="A231" s="8" t="str">
        <x:v>F22 Jadwal pengakuan / posting periodik</x:v>
      </x:c>
      <x:c r="B231" s="8" t="str">
        <x:v>Akuntansi</x:v>
      </x:c>
      <x:c r="C231" s="8" t="str">
        <x:v>Tanggal transaksi</x:v>
      </x:c>
      <x:c r="D231" s="8" t="str">
        <x:v>Tanggal</x:v>
      </x:c>
      <x:c r="E231" s="8" t="str">
        <x:v>Ya</x:v>
      </x:c>
      <x:c r="F231" s="8" t="str">
        <x:v>Pengguna</x:v>
      </x:c>
      <x:c r="G231" s="8" t="str">
        <x:v>Periode harus terbuka untuk posting baru</x:v>
      </x:c>
      <x:c r="H231" s="8" t="str">
        <x:v>Draf atau dikembalikan; sesudah diajukan baca saja. Revisi setelah posted melalui prosedur koreksi.</x:v>
      </x:c>
    </x:row>
    <x:row r="232" ht="100" customHeight="1">
      <x:c r="A232" s="8" t="str">
        <x:v>F22 Jadwal pengakuan / posting periodik</x:v>
      </x:c>
      <x:c r="B232" s="8" t="str">
        <x:v>Akuntansi</x:v>
      </x:c>
      <x:c r="C232" s="8" t="str">
        <x:v>Keterangan</x:v>
      </x:c>
      <x:c r="D232" s="8" t="str">
        <x:v>Teks</x:v>
      </x:c>
      <x:c r="E232" s="8" t="str">
        <x:v>Sesuai konteks</x:v>
      </x:c>
      <x:c r="F232" s="8" t="str">
        <x:v>Pengguna</x:v>
      </x:c>
      <x:c r="G232" s="8" t="str">
        <x:v>Alasan wajib untuk koreksi atau pengecualian</x:v>
      </x:c>
      <x:c r="H232" s="8" t="str">
        <x:v>Draf atau dikembalikan; sesudah diajukan baca saja. Revisi setelah posted melalui prosedur koreksi.</x:v>
      </x:c>
    </x:row>
    <x:row r="233" ht="100" customHeight="1">
      <x:c r="A233" s="8" t="str">
        <x:v>F22 Jadwal pengakuan / posting periodik</x:v>
      </x:c>
      <x:c r="B233" s="8" t="str">
        <x:v>Akuntansi</x:v>
      </x:c>
      <x:c r="C233" s="8" t="str">
        <x:v>Lampiran</x:v>
      </x:c>
      <x:c r="D233" s="8" t="str">
        <x:v>Upload dokumen</x:v>
      </x:c>
      <x:c r="E233" s="8" t="str">
        <x:v>Sesuai jenis</x:v>
      </x:c>
      <x:c r="F233" s="8" t="str">
        <x:v>Pengguna</x:v>
      </x:c>
      <x:c r="G233" s="8" t="str">
        <x:v>Jenis/ukuran sesuai konfigurasi; status unggah terlihat</x:v>
      </x:c>
      <x:c r="H233" s="8" t="str">
        <x:v>Draf atau dikembalikan; sesudah diajukan baca saja. Revisi setelah posted melalui prosedur koreksi.</x:v>
      </x:c>
    </x:row>
    <x:row r="234" ht="100" customHeight="1">
      <x:c r="A234" s="8" t="str">
        <x:v>F22 Jadwal pengakuan / posting periodik</x:v>
      </x:c>
      <x:c r="B234" s="8" t="str">
        <x:v>Akuntansi</x:v>
      </x:c>
      <x:c r="C234" s="8" t="str">
        <x:v>Jadwal sumber</x:v>
      </x:c>
      <x:c r="D234" s="8" t="str">
        <x:v>Referensi</x:v>
      </x:c>
      <x:c r="E234" s="8" t="str">
        <x:v>Ya</x:v>
      </x:c>
      <x:c r="F234" s="8" t="str">
        <x:v>Prepaid/aset/akrual sah</x:v>
      </x:c>
      <x:c r="G234" s="8" t="str">
        <x:v>Satu jadwal dan sumber</x:v>
      </x:c>
      <x:c r="H234" s="8" t="str">
        <x:v>Draf atau dikembalikan; sesudah diajukan baca saja. Revisi setelah posted melalui prosedur koreksi.</x:v>
      </x:c>
    </x:row>
    <x:row r="235" ht="100" customHeight="1">
      <x:c r="A235" s="8" t="str">
        <x:v>F22 Jadwal pengakuan / posting periodik</x:v>
      </x:c>
      <x:c r="B235" s="8" t="str">
        <x:v>Akuntansi</x:v>
      </x:c>
      <x:c r="C235" s="8" t="str">
        <x:v>Jenis pengakuan</x:v>
      </x:c>
      <x:c r="D235" s="8" t="str">
        <x:v>Baca saja/pilihan</x:v>
      </x:c>
      <x:c r="E235" s="8" t="str">
        <x:v>Ya</x:v>
      </x:c>
      <x:c r="F235" s="8" t="str">
        <x:v>Jadwal/kebijakan</x:v>
      </x:c>
      <x:c r="G235" s="8" t="str">
        <x:v>Sewa, aset, akrual dan lainnya dipisahkan</x:v>
      </x:c>
      <x:c r="H235" s="8" t="str">
        <x:v>Draf atau dikembalikan; sesudah diajukan baca saja. Revisi setelah posted melalui prosedur koreksi.</x:v>
      </x:c>
    </x:row>
    <x:row r="236" ht="100" customHeight="1">
      <x:c r="A236" s="8" t="str">
        <x:v>F22 Jadwal pengakuan / posting periodik</x:v>
      </x:c>
      <x:c r="B236" s="8" t="str">
        <x:v>Akuntansi</x:v>
      </x:c>
      <x:c r="C236" s="8" t="str">
        <x:v>Periode tujuan</x:v>
      </x:c>
      <x:c r="D236" s="8" t="str">
        <x:v>Periode</x:v>
      </x:c>
      <x:c r="E236" s="8" t="str">
        <x:v>Ya</x:v>
      </x:c>
      <x:c r="F236" s="8" t="str">
        <x:v>Periode terbuka</x:v>
      </x:c>
      <x:c r="G236" s="8" t="str">
        <x:v>Tidak posting periode tertutup</x:v>
      </x:c>
      <x:c r="H236" s="8" t="str">
        <x:v>Draf atau dikembalikan; sesudah diajukan baca saja. Revisi setelah posted melalui prosedur koreksi.</x:v>
      </x:c>
    </x:row>
    <x:row r="237" ht="100" customHeight="1">
      <x:c r="A237" s="8" t="str">
        <x:v>F22 Jadwal pengakuan / posting periodik</x:v>
      </x:c>
      <x:c r="B237" s="8" t="str">
        <x:v>Akuntansi</x:v>
      </x:c>
      <x:c r="C237" s="8" t="str">
        <x:v>Baris pengakuan</x:v>
      </x:c>
      <x:c r="D237" s="8" t="str">
        <x:v>Tabel anak</x:v>
      </x:c>
      <x:c r="E237" s="8" t="str">
        <x:v>Ya</x:v>
      </x:c>
      <x:c r="F237" s="8" t="str">
        <x:v>Jadwal</x:v>
      </x:c>
      <x:c r="G237" s="8" t="str">
        <x:v>Jumlah, unit dan akun sesuai sumber; periode tidak diposting dua kali</x:v>
      </x:c>
      <x:c r="H237" s="8" t="str">
        <x:v>Draf atau dikembalikan; sesudah diajukan baca saja. Revisi setelah posted melalui prosedur koreksi.</x:v>
      </x:c>
    </x:row>
    <x:row r="238" ht="100" customHeight="1">
      <x:c r="A238" s="8" t="str">
        <x:v>F22 Jadwal pengakuan / posting periodik</x:v>
      </x:c>
      <x:c r="B238" s="8" t="str">
        <x:v>Akuntansi</x:v>
      </x:c>
      <x:c r="C238" s="8" t="str">
        <x:v>Nominal periode Rp</x:v>
      </x:c>
      <x:c r="D238" s="8" t="str">
        <x:v>Baca saja</x:v>
      </x:c>
      <x:c r="E238" s="8" t="str">
        <x:v>Otomatis</x:v>
      </x:c>
      <x:c r="F238" s="8" t="str">
        <x:v>Jadwal dan perubahan disetujui</x:v>
      </x:c>
      <x:c r="G238" s="8" t="str">
        <x:v>Perubahan dasar dilakukan lewat jadwal/sumber</x:v>
      </x:c>
      <x:c r="H238" s="8" t="str">
        <x:v>Draf atau dikembalikan; sesudah diajukan baca saja. Revisi setelah posted melalui prosedur koreksi.</x:v>
      </x:c>
    </x:row>
    <x:row r="239" ht="100" customHeight="1">
      <x:c r="A239" s="8" t="str">
        <x:v>F22 Jadwal pengakuan / posting periodik</x:v>
      </x:c>
      <x:c r="B239" s="8" t="str">
        <x:v>Akuntansi</x:v>
      </x:c>
      <x:c r="C239" s="8" t="str">
        <x:v>Tanggal pembalikan</x:v>
      </x:c>
      <x:c r="D239" s="8" t="str">
        <x:v>Tanggal</x:v>
      </x:c>
      <x:c r="E239" s="8" t="str">
        <x:v>Jika rule membutuhkan</x:v>
      </x:c>
      <x:c r="F239" s="8" t="str">
        <x:v>Kebijakan</x:v>
      </x:c>
      <x:c r="G239" s="8" t="str">
        <x:v>Tertaut pada jurnal asal</x:v>
      </x:c>
      <x:c r="H239" s="8" t="str">
        <x:v>Draf atau dikembalikan; sesudah diajukan baca saja. Revisi setelah posted melalui prosedur koreksi.</x:v>
      </x:c>
    </x:row>
    <x:row r="240" ht="100" customHeight="1">
      <x:c r="A240" s="8" t="str">
        <x:v>F23 Penerimaan batch payroll HR</x:v>
      </x:c>
      <x:c r="B240" s="8" t="str">
        <x:v>Finance payroll</x:v>
      </x:c>
      <x:c r="C240" s="8" t="str">
        <x:v>Run dan versi HR</x:v>
      </x:c>
      <x:c r="D240" s="8" t="str">
        <x:v>Referensi</x:v>
      </x:c>
      <x:c r="E240" s="8" t="str">
        <x:v>Ya</x:v>
      </x:c>
      <x:c r="F240" s="8" t="str">
        <x:v>HR approved, lengkap dan dikunci</x:v>
      </x:c>
      <x:c r="G240" s="8" t="str">
        <x:v>Tidak menerima draft/incomplete/sealed versi lama yang digantikan</x:v>
      </x:c>
      <x:c r="H240" s="8" t="str">
        <x:v>Draf atau dikembalikan; sesudah diajukan baca saja. Revisi setelah posted melalui prosedur koreksi.</x:v>
      </x:c>
    </x:row>
    <x:row r="241" ht="100" customHeight="1">
      <x:c r="A241" s="8" t="str">
        <x:v>F23 Penerimaan batch payroll HR</x:v>
      </x:c>
      <x:c r="B241" s="8" t="str">
        <x:v>Finance payroll</x:v>
      </x:c>
      <x:c r="C241" s="8" t="str">
        <x:v>Unit dan periode batch</x:v>
      </x:c>
      <x:c r="D241" s="8" t="str">
        <x:v>Baca saja</x:v>
      </x:c>
      <x:c r="E241" s="8" t="str">
        <x:v>Ya</x:v>
      </x:c>
      <x:c r="F241" s="8" t="str">
        <x:v>Snapshot HR</x:v>
      </x:c>
      <x:c r="G241" s="8" t="str">
        <x:v>Sesuai izin; bukan ditentukan ulang Finance</x:v>
      </x:c>
      <x:c r="H241" s="8" t="str">
        <x:v>Draf atau dikembalikan; sesudah diajukan baca saja. Revisi setelah posted melalui prosedur koreksi.</x:v>
      </x:c>
    </x:row>
    <x:row r="242" ht="100" customHeight="1">
      <x:c r="A242" s="8" t="str">
        <x:v>F23 Penerimaan batch payroll HR</x:v>
      </x:c>
      <x:c r="B242" s="8" t="str">
        <x:v>Finance payroll</x:v>
      </x:c>
      <x:c r="C242" s="8" t="str">
        <x:v>Pegawai dan komponen</x:v>
      </x:c>
      <x:c r="D242" s="8" t="str">
        <x:v>Tabel baca saja</x:v>
      </x:c>
      <x:c r="E242" s="8" t="str">
        <x:v>Ya</x:v>
      </x:c>
      <x:c r="F242" s="8" t="str">
        <x:v>Snapshot HR</x:v>
      </x:c>
      <x:c r="G242" s="8" t="str">
        <x:v>Finance tidak menghitung ulang atau mengedit gaji</x:v>
      </x:c>
      <x:c r="H242" s="8" t="str">
        <x:v>Draf atau dikembalikan; sesudah diajukan baca saja. Revisi setelah posted melalui prosedur koreksi.</x:v>
      </x:c>
    </x:row>
    <x:row r="243" ht="100" customHeight="1">
      <x:c r="A243" s="8" t="str">
        <x:v>F23 Penerimaan batch payroll HR</x:v>
      </x:c>
      <x:c r="B243" s="8" t="str">
        <x:v>Finance payroll</x:v>
      </x:c>
      <x:c r="C243" s="8" t="str">
        <x:v>Pemetaan pencatatan</x:v>
      </x:c>
      <x:c r="D243" s="8" t="str">
        <x:v>Referensi/validasi</x:v>
      </x:c>
      <x:c r="E243" s="8" t="str">
        <x:v>Ya</x:v>
      </x:c>
      <x:c r="F243" s="8" t="str">
        <x:v>Pengaturan Finance</x:v>
      </x:c>
      <x:c r="G243" s="8" t="str">
        <x:v>Komponen dan unit harus terpetakan</x:v>
      </x:c>
      <x:c r="H243" s="8" t="str">
        <x:v>Draf atau dikembalikan; sesudah diajukan baca saja. Revisi setelah posted melalui prosedur koreksi.</x:v>
      </x:c>
    </x:row>
    <x:row r="244" ht="100" customHeight="1">
      <x:c r="A244" s="8" t="str">
        <x:v>F23 Penerimaan batch payroll HR</x:v>
      </x:c>
      <x:c r="B244" s="8" t="str">
        <x:v>Finance payroll</x:v>
      </x:c>
      <x:c r="C244" s="8" t="str">
        <x:v>Selisih/penolakan</x:v>
      </x:c>
      <x:c r="D244" s="8" t="str">
        <x:v>Teks + referensi</x:v>
      </x:c>
      <x:c r="E244" s="8" t="str">
        <x:v>Jika tidak cocok</x:v>
      </x:c>
      <x:c r="F244" s="8" t="str">
        <x:v>Finance</x:v>
      </x:c>
      <x:c r="G244" s="8" t="str">
        <x:v>Dikembalikan ke sumber HR untuk versi revisi</x:v>
      </x:c>
      <x:c r="H244" s="8" t="str">
        <x:v>Draf atau dikembalikan; sesudah diajukan baca saja. Revisi setelah posted melalui prosedur koreksi.</x:v>
      </x:c>
    </x:row>
    <x:row r="245" ht="100" customHeight="1">
      <x:c r="A245" s="8" t="str">
        <x:v>F23 Penerimaan batch payroll HR</x:v>
      </x:c>
      <x:c r="B245" s="8" t="str">
        <x:v>Finance payroll</x:v>
      </x:c>
      <x:c r="C245" s="8" t="str">
        <x:v>ID penerimaan</x:v>
      </x:c>
      <x:c r="D245" s="8" t="str">
        <x:v>Baca saja</x:v>
      </x:c>
      <x:c r="E245" s="8" t="str">
        <x:v>Otomatis</x:v>
      </x:c>
      <x:c r="F245" s="8" t="str">
        <x:v>Sistem</x:v>
      </x:c>
      <x:c r="G245" s="8" t="str">
        <x:v>Pengiriman ulang versi sama tidak menggandakan kewajiban</x:v>
      </x:c>
      <x:c r="H245" s="8" t="str">
        <x:v>Draf atau dikembalikan; sesudah diajukan baca saja. Revisi setelah posted melalui prosedur koreksi.</x:v>
      </x:c>
    </x:row>
    <x:row r="246" ht="100" customHeight="1">
      <x:c r="A246" s="8" t="str">
        <x:v>F24 Pinjaman pegawai / pelunasan</x:v>
      </x:c>
      <x:c r="B246" s="8" t="str">
        <x:v>Finance payroll</x:v>
      </x:c>
      <x:c r="C246" s="8" t="str">
        <x:v>Nomor dokumen</x:v>
      </x:c>
      <x:c r="D246" s="8" t="str">
        <x:v>Baca saja</x:v>
      </x:c>
      <x:c r="E246" s="8" t="str">
        <x:v>Otomatis</x:v>
      </x:c>
      <x:c r="F246" s="8" t="str">
        <x:v>Sistem</x:v>
      </x:c>
      <x:c r="G246" s="8" t="str">
        <x:v>Tetap satu ID; versi berubah jika revisi</x:v>
      </x:c>
      <x:c r="H246" s="8" t="str">
        <x:v>Draf atau dikembalikan; sesudah diajukan baca saja. Revisi setelah posted melalui prosedur koreksi.</x:v>
      </x:c>
    </x:row>
    <x:row r="247" ht="100" customHeight="1">
      <x:c r="A247" s="8" t="str">
        <x:v>F24 Pinjaman pegawai / pelunasan</x:v>
      </x:c>
      <x:c r="B247" s="8" t="str">
        <x:v>Finance payroll</x:v>
      </x:c>
      <x:c r="C247" s="8" t="str">
        <x:v>Unit</x:v>
      </x:c>
      <x:c r="D247" s="8" t="str">
        <x:v>Dropdown</x:v>
      </x:c>
      <x:c r="E247" s="8" t="str">
        <x:v>Ya</x:v>
      </x:c>
      <x:c r="F247" s="8" t="str">
        <x:v>Unit yang boleh diakses</x:v>
      </x:c>
      <x:c r="G247" s="8" t="str">
        <x:v>Akun, pihak dan transaksi sesuai unit</x:v>
      </x:c>
      <x:c r="H247" s="8" t="str">
        <x:v>Draf atau dikembalikan; sesudah diajukan baca saja. Revisi setelah posted melalui prosedur koreksi.</x:v>
      </x:c>
    </x:row>
    <x:row r="248" ht="100" customHeight="1">
      <x:c r="A248" s="8" t="str">
        <x:v>F24 Pinjaman pegawai / pelunasan</x:v>
      </x:c>
      <x:c r="B248" s="8" t="str">
        <x:v>Finance payroll</x:v>
      </x:c>
      <x:c r="C248" s="8" t="str">
        <x:v>Tanggal transaksi</x:v>
      </x:c>
      <x:c r="D248" s="8" t="str">
        <x:v>Tanggal</x:v>
      </x:c>
      <x:c r="E248" s="8" t="str">
        <x:v>Ya</x:v>
      </x:c>
      <x:c r="F248" s="8" t="str">
        <x:v>Pengguna</x:v>
      </x:c>
      <x:c r="G248" s="8" t="str">
        <x:v>Periode harus terbuka untuk posting baru</x:v>
      </x:c>
      <x:c r="H248" s="8" t="str">
        <x:v>Draf atau dikembalikan; sesudah diajukan baca saja. Revisi setelah posted melalui prosedur koreksi.</x:v>
      </x:c>
    </x:row>
    <x:row r="249" ht="100" customHeight="1">
      <x:c r="A249" s="8" t="str">
        <x:v>F24 Pinjaman pegawai / pelunasan</x:v>
      </x:c>
      <x:c r="B249" s="8" t="str">
        <x:v>Finance payroll</x:v>
      </x:c>
      <x:c r="C249" s="8" t="str">
        <x:v>Keterangan</x:v>
      </x:c>
      <x:c r="D249" s="8" t="str">
        <x:v>Teks</x:v>
      </x:c>
      <x:c r="E249" s="8" t="str">
        <x:v>Sesuai konteks</x:v>
      </x:c>
      <x:c r="F249" s="8" t="str">
        <x:v>Pengguna</x:v>
      </x:c>
      <x:c r="G249" s="8" t="str">
        <x:v>Alasan wajib untuk koreksi atau pengecualian</x:v>
      </x:c>
      <x:c r="H249" s="8" t="str">
        <x:v>Draf atau dikembalikan; sesudah diajukan baca saja. Revisi setelah posted melalui prosedur koreksi.</x:v>
      </x:c>
    </x:row>
    <x:row r="250" ht="100" customHeight="1">
      <x:c r="A250" s="8" t="str">
        <x:v>F24 Pinjaman pegawai / pelunasan</x:v>
      </x:c>
      <x:c r="B250" s="8" t="str">
        <x:v>Finance payroll</x:v>
      </x:c>
      <x:c r="C250" s="8" t="str">
        <x:v>Lampiran</x:v>
      </x:c>
      <x:c r="D250" s="8" t="str">
        <x:v>Upload dokumen</x:v>
      </x:c>
      <x:c r="E250" s="8" t="str">
        <x:v>Sesuai jenis</x:v>
      </x:c>
      <x:c r="F250" s="8" t="str">
        <x:v>Pengguna</x:v>
      </x:c>
      <x:c r="G250" s="8" t="str">
        <x:v>Jenis/ukuran sesuai konfigurasi; status unggah terlihat</x:v>
      </x:c>
      <x:c r="H250" s="8" t="str">
        <x:v>Draf atau dikembalikan; sesudah diajukan baca saja. Revisi setelah posted melalui prosedur koreksi.</x:v>
      </x:c>
    </x:row>
    <x:row r="251" ht="100" customHeight="1">
      <x:c r="A251" s="8" t="str">
        <x:v>F24 Pinjaman pegawai / pelunasan</x:v>
      </x:c>
      <x:c r="B251" s="8" t="str">
        <x:v>Finance payroll</x:v>
      </x:c>
      <x:c r="C251" s="8" t="str">
        <x:v>Pegawai</x:v>
      </x:c>
      <x:c r="D251" s="8" t="str">
        <x:v>Referensi</x:v>
      </x:c>
      <x:c r="E251" s="8" t="str">
        <x:v>Ya</x:v>
      </x:c>
      <x:c r="F251" s="8" t="str">
        <x:v>HR/master berizin</x:v>
      </x:c>
      <x:c r="G251" s="8" t="str">
        <x:v>Hak nominal dan unit sesuai</x:v>
      </x:c>
      <x:c r="H251" s="8" t="str">
        <x:v>Draf atau dikembalikan; sesudah diajukan baca saja. Revisi setelah posted melalui prosedur koreksi.</x:v>
      </x:c>
    </x:row>
    <x:row r="252" ht="100" customHeight="1">
      <x:c r="A252" s="8" t="str">
        <x:v>F24 Pinjaman pegawai / pelunasan</x:v>
      </x:c>
      <x:c r="B252" s="8" t="str">
        <x:v>Finance payroll</x:v>
      </x:c>
      <x:c r="C252" s="8" t="str">
        <x:v>Pokok pinjaman Rp</x:v>
      </x:c>
      <x:c r="D252" s="8" t="str">
        <x:v>Nominal</x:v>
      </x:c>
      <x:c r="E252" s="8" t="str">
        <x:v>Saat pencairan</x:v>
      </x:c>
      <x:c r="F252" s="8" t="str">
        <x:v>Keputusan pinjaman</x:v>
      </x:c>
      <x:c r="G252" s="8" t="str">
        <x:v>Positif dan dasar disetujui</x:v>
      </x:c>
      <x:c r="H252" s="8" t="str">
        <x:v>Draf atau dikembalikan; sesudah diajukan baca saja. Revisi setelah posted melalui prosedur koreksi.</x:v>
      </x:c>
    </x:row>
    <x:row r="253" ht="100" customHeight="1">
      <x:c r="A253" s="8" t="str">
        <x:v>F24 Pinjaman pegawai / pelunasan</x:v>
      </x:c>
      <x:c r="B253" s="8" t="str">
        <x:v>Finance payroll</x:v>
      </x:c>
      <x:c r="C253" s="8" t="str">
        <x:v>Cara pelunasan</x:v>
      </x:c>
      <x:c r="D253" s="8" t="str">
        <x:v>Dropdown</x:v>
      </x:c>
      <x:c r="E253" s="8" t="str">
        <x:v>Ya</x:v>
      </x:c>
      <x:c r="F253" s="8" t="str">
        <x:v>Potongan payroll; penerimaan kas/bank</x:v>
      </x:c>
      <x:c r="G253" s="8" t="str">
        <x:v>Keduanya menghasilkan referensi jurnal/alokasi</x:v>
      </x:c>
      <x:c r="H253" s="8" t="str">
        <x:v>Draf atau dikembalikan; sesudah diajukan baca saja. Revisi setelah posted melalui prosedur koreksi.</x:v>
      </x:c>
    </x:row>
    <x:row r="254" ht="100" customHeight="1">
      <x:c r="A254" s="8" t="str">
        <x:v>F24 Pinjaman pegawai / pelunasan</x:v>
      </x:c>
      <x:c r="B254" s="8" t="str">
        <x:v>Finance payroll</x:v>
      </x:c>
      <x:c r="C254" s="8" t="str">
        <x:v>Jadwal/nominal potongan</x:v>
      </x:c>
      <x:c r="D254" s="8" t="str">
        <x:v>Tabel jadwal</x:v>
      </x:c>
      <x:c r="E254" s="8" t="str">
        <x:v>Jika payroll</x:v>
      </x:c>
      <x:c r="F254" s="8" t="str">
        <x:v>Keputusan dan batch HR</x:v>
      </x:c>
      <x:c r="G254" s="8" t="str">
        <x:v>Tidak memotong lebih dari sisa; diselaraskan dengan HR</x:v>
      </x:c>
      <x:c r="H254" s="8" t="str">
        <x:v>Draf atau dikembalikan; sesudah diajukan baca saja. Revisi setelah posted melalui prosedur koreksi.</x:v>
      </x:c>
    </x:row>
    <x:row r="255" ht="100" customHeight="1">
      <x:c r="A255" s="8" t="str">
        <x:v>F24 Pinjaman pegawai / pelunasan</x:v>
      </x:c>
      <x:c r="B255" s="8" t="str">
        <x:v>Finance payroll</x:v>
      </x:c>
      <x:c r="C255" s="8" t="str">
        <x:v>Pembayaran awal / batch / penerimaan</x:v>
      </x:c>
      <x:c r="D255" s="8" t="str">
        <x:v>Referensi</x:v>
      </x:c>
      <x:c r="E255" s="8" t="str">
        <x:v>Sesuai tahap</x:v>
      </x:c>
      <x:c r="F255" s="8" t="str">
        <x:v>PAY; HR run; RCPT</x:v>
      </x:c>
      <x:c r="G255" s="8" t="str">
        <x:v>Mengubah register hanya dengan sumber posting terkait</x:v>
      </x:c>
      <x:c r="H255" s="8" t="str">
        <x:v>Draf atau dikembalikan; sesudah diajukan baca saja. Revisi setelah posted melalui prosedur koreksi.</x:v>
      </x:c>
    </x:row>
    <x:row r="256" ht="100" customHeight="1">
      <x:c r="A256" s="8" t="str">
        <x:v>F24 Pinjaman pegawai / pelunasan</x:v>
      </x:c>
      <x:c r="B256" s="8" t="str">
        <x:v>Finance payroll</x:v>
      </x:c>
      <x:c r="C256" s="8" t="str">
        <x:v>Sisa piutang Rp</x:v>
      </x:c>
      <x:c r="D256" s="8" t="str">
        <x:v>Baca saja</x:v>
      </x:c>
      <x:c r="E256" s="8" t="str">
        <x:v>Otomatis</x:v>
      </x:c>
      <x:c r="F256" s="8" t="str">
        <x:v>Pokok dan pelunasan tercatat</x:v>
      </x:c>
      <x:c r="G256" s="8" t="str">
        <x:v>Tidak ada tombol kurangi saldo tanpa jurnal</x:v>
      </x:c>
      <x:c r="H256" s="8" t="str">
        <x:v>Draf atau dikembalikan; sesudah diajukan baca saja. Revisi setelah posted melalui prosedur koreksi.</x:v>
      </x:c>
    </x:row>
    <x:row r="257" ht="100" customHeight="1">
      <x:c r="A257" s="8" t="str">
        <x:v>F25 Dokumen / kewajiban pajak</x:v>
      </x:c>
      <x:c r="B257" s="8" t="str">
        <x:v>Tim pajak</x:v>
      </x:c>
      <x:c r="C257" s="8" t="str">
        <x:v>Nomor dokumen</x:v>
      </x:c>
      <x:c r="D257" s="8" t="str">
        <x:v>Baca saja</x:v>
      </x:c>
      <x:c r="E257" s="8" t="str">
        <x:v>Otomatis</x:v>
      </x:c>
      <x:c r="F257" s="8" t="str">
        <x:v>Sistem</x:v>
      </x:c>
      <x:c r="G257" s="8" t="str">
        <x:v>Tetap satu ID; versi berubah jika revisi</x:v>
      </x:c>
      <x:c r="H257" s="8" t="str">
        <x:v>Draf atau dikembalikan; sesudah diajukan baca saja. Revisi setelah posted melalui prosedur koreksi.</x:v>
      </x:c>
    </x:row>
    <x:row r="258" ht="100" customHeight="1">
      <x:c r="A258" s="8" t="str">
        <x:v>F25 Dokumen / kewajiban pajak</x:v>
      </x:c>
      <x:c r="B258" s="8" t="str">
        <x:v>Tim pajak</x:v>
      </x:c>
      <x:c r="C258" s="8" t="str">
        <x:v>Unit</x:v>
      </x:c>
      <x:c r="D258" s="8" t="str">
        <x:v>Dropdown</x:v>
      </x:c>
      <x:c r="E258" s="8" t="str">
        <x:v>Ya</x:v>
      </x:c>
      <x:c r="F258" s="8" t="str">
        <x:v>Unit yang boleh diakses</x:v>
      </x:c>
      <x:c r="G258" s="8" t="str">
        <x:v>Akun, pihak dan transaksi sesuai unit</x:v>
      </x:c>
      <x:c r="H258" s="8" t="str">
        <x:v>Draf atau dikembalikan; sesudah diajukan baca saja. Revisi setelah posted melalui prosedur koreksi.</x:v>
      </x:c>
    </x:row>
    <x:row r="259" ht="100" customHeight="1">
      <x:c r="A259" s="8" t="str">
        <x:v>F25 Dokumen / kewajiban pajak</x:v>
      </x:c>
      <x:c r="B259" s="8" t="str">
        <x:v>Tim pajak</x:v>
      </x:c>
      <x:c r="C259" s="8" t="str">
        <x:v>Tanggal transaksi</x:v>
      </x:c>
      <x:c r="D259" s="8" t="str">
        <x:v>Tanggal</x:v>
      </x:c>
      <x:c r="E259" s="8" t="str">
        <x:v>Ya</x:v>
      </x:c>
      <x:c r="F259" s="8" t="str">
        <x:v>Pengguna</x:v>
      </x:c>
      <x:c r="G259" s="8" t="str">
        <x:v>Periode harus terbuka untuk posting baru</x:v>
      </x:c>
      <x:c r="H259" s="8" t="str">
        <x:v>Draf atau dikembalikan; sesudah diajukan baca saja. Revisi setelah posted melalui prosedur koreksi.</x:v>
      </x:c>
    </x:row>
    <x:row r="260" ht="100" customHeight="1">
      <x:c r="A260" s="8" t="str">
        <x:v>F25 Dokumen / kewajiban pajak</x:v>
      </x:c>
      <x:c r="B260" s="8" t="str">
        <x:v>Tim pajak</x:v>
      </x:c>
      <x:c r="C260" s="8" t="str">
        <x:v>Keterangan</x:v>
      </x:c>
      <x:c r="D260" s="8" t="str">
        <x:v>Teks</x:v>
      </x:c>
      <x:c r="E260" s="8" t="str">
        <x:v>Sesuai konteks</x:v>
      </x:c>
      <x:c r="F260" s="8" t="str">
        <x:v>Pengguna</x:v>
      </x:c>
      <x:c r="G260" s="8" t="str">
        <x:v>Alasan wajib untuk koreksi atau pengecualian</x:v>
      </x:c>
      <x:c r="H260" s="8" t="str">
        <x:v>Draf atau dikembalikan; sesudah diajukan baca saja. Revisi setelah posted melalui prosedur koreksi.</x:v>
      </x:c>
    </x:row>
    <x:row r="261" ht="100" customHeight="1">
      <x:c r="A261" s="8" t="str">
        <x:v>F25 Dokumen / kewajiban pajak</x:v>
      </x:c>
      <x:c r="B261" s="8" t="str">
        <x:v>Tim pajak</x:v>
      </x:c>
      <x:c r="C261" s="8" t="str">
        <x:v>Lampiran</x:v>
      </x:c>
      <x:c r="D261" s="8" t="str">
        <x:v>Upload dokumen</x:v>
      </x:c>
      <x:c r="E261" s="8" t="str">
        <x:v>Sesuai jenis</x:v>
      </x:c>
      <x:c r="F261" s="8" t="str">
        <x:v>Pengguna</x:v>
      </x:c>
      <x:c r="G261" s="8" t="str">
        <x:v>Jenis/ukuran sesuai konfigurasi; status unggah terlihat</x:v>
      </x:c>
      <x:c r="H261" s="8" t="str">
        <x:v>Draf atau dikembalikan; sesudah diajukan baca saja. Revisi setelah posted melalui prosedur koreksi.</x:v>
      </x:c>
    </x:row>
    <x:row r="262" ht="100" customHeight="1">
      <x:c r="A262" s="8" t="str">
        <x:v>F25 Dokumen / kewajiban pajak</x:v>
      </x:c>
      <x:c r="B262" s="8" t="str">
        <x:v>Tim pajak</x:v>
      </x:c>
      <x:c r="C262" s="8" t="str">
        <x:v>Jenis pajak</x:v>
      </x:c>
      <x:c r="D262" s="8" t="str">
        <x:v>Dropdown</x:v>
      </x:c>
      <x:c r="E262" s="8" t="str">
        <x:v>Ya</x:v>
      </x:c>
      <x:c r="F262" s="8" t="str">
        <x:v>Master yang divalidasi tim pajak</x:v>
      </x:c>
      <x:c r="G262" s="8" t="str">
        <x:v>Tidak diturunkan hanya dari digit akun</x:v>
      </x:c>
      <x:c r="H262" s="8" t="str">
        <x:v>Draf atau dikembalikan; sesudah diajukan baca saja. Revisi setelah posted melalui prosedur koreksi.</x:v>
      </x:c>
    </x:row>
    <x:row r="263" ht="100" customHeight="1">
      <x:c r="A263" s="8" t="str">
        <x:v>F25 Dokumen / kewajiban pajak</x:v>
      </x:c>
      <x:c r="B263" s="8" t="str">
        <x:v>Tim pajak</x:v>
      </x:c>
      <x:c r="C263" s="8" t="str">
        <x:v>Masa pajak</x:v>
      </x:c>
      <x:c r="D263" s="8" t="str">
        <x:v>Periode</x:v>
      </x:c>
      <x:c r="E263" s="8" t="str">
        <x:v>Ya</x:v>
      </x:c>
      <x:c r="F263" s="8" t="str">
        <x:v>Dokumen sumber</x:v>
      </x:c>
      <x:c r="G263" s="8" t="str">
        <x:v>Berbeda dari tanggal bayar/lapor</x:v>
      </x:c>
      <x:c r="H263" s="8" t="str">
        <x:v>Draf atau dikembalikan; sesudah diajukan baca saja. Revisi setelah posted melalui prosedur koreksi.</x:v>
      </x:c>
    </x:row>
    <x:row r="264" ht="100" customHeight="1">
      <x:c r="A264" s="8" t="str">
        <x:v>F25 Dokumen / kewajiban pajak</x:v>
      </x:c>
      <x:c r="B264" s="8" t="str">
        <x:v>Tim pajak</x:v>
      </x:c>
      <x:c r="C264" s="8" t="str">
        <x:v>Dokumen sumber</x:v>
      </x:c>
      <x:c r="D264" s="8" t="str">
        <x:v>Referensi</x:v>
      </x:c>
      <x:c r="E264" s="8" t="str">
        <x:v>Ya</x:v>
      </x:c>
      <x:c r="F264" s="8" t="str">
        <x:v>Tagihan/penjualan/payroll</x:v>
      </x:c>
      <x:c r="G264" s="8" t="str">
        <x:v>Tidak membuat kewajiban sama dua kali</x:v>
      </x:c>
      <x:c r="H264" s="8" t="str">
        <x:v>Draf atau dikembalikan; sesudah diajukan baca saja. Revisi setelah posted melalui prosedur koreksi.</x:v>
      </x:c>
    </x:row>
    <x:row r="265" ht="100" customHeight="1">
      <x:c r="A265" s="8" t="str">
        <x:v>F25 Dokumen / kewajiban pajak</x:v>
      </x:c>
      <x:c r="B265" s="8" t="str">
        <x:v>Tim pajak</x:v>
      </x:c>
      <x:c r="C265" s="8" t="str">
        <x:v>Nomor dokumen pajak</x:v>
      </x:c>
      <x:c r="D265" s="8" t="str">
        <x:v>Teks</x:v>
      </x:c>
      <x:c r="E265" s="8" t="str">
        <x:v>Sesuai jenis</x:v>
      </x:c>
      <x:c r="F265" s="8" t="str">
        <x:v>Dokumen resmi</x:v>
      </x:c>
      <x:c r="G265" s="8" t="str">
        <x:v>Cek duplikat sesuai konteks</x:v>
      </x:c>
      <x:c r="H265" s="8" t="str">
        <x:v>Draf atau dikembalikan; sesudah diajukan baca saja. Revisi setelah posted melalui prosedur koreksi.</x:v>
      </x:c>
    </x:row>
    <x:row r="266" ht="100" customHeight="1">
      <x:c r="A266" s="8" t="str">
        <x:v>F25 Dokumen / kewajiban pajak</x:v>
      </x:c>
      <x:c r="B266" s="8" t="str">
        <x:v>Tim pajak</x:v>
      </x:c>
      <x:c r="C266" s="8" t="str">
        <x:v>Dasar dan nilai pajak Rp</x:v>
      </x:c>
      <x:c r="D266" s="8" t="str">
        <x:v>Baca saja / input terkontrol</x:v>
      </x:c>
      <x:c r="E266" s="8" t="str">
        <x:v>Sesuai sumber</x:v>
      </x:c>
      <x:c r="F266" s="8" t="str">
        <x:v>Dokumen dan aturan sah</x:v>
      </x:c>
      <x:c r="G266" s="8" t="str">
        <x:v>Tarif/aturan tidak dikarang oleh desain UI</x:v>
      </x:c>
      <x:c r="H266" s="8" t="str">
        <x:v>Draf atau dikembalikan; sesudah diajukan baca saja. Revisi setelah posted melalui prosedur koreksi.</x:v>
      </x:c>
    </x:row>
    <x:row r="267" ht="100" customHeight="1">
      <x:c r="A267" s="8" t="str">
        <x:v>F25 Dokumen / kewajiban pajak</x:v>
      </x:c>
      <x:c r="B267" s="8" t="str">
        <x:v>Tim pajak</x:v>
      </x:c>
      <x:c r="C267" s="8" t="str">
        <x:v>Tenggat bayar/lapor</x:v>
      </x:c>
      <x:c r="D267" s="8" t="str">
        <x:v>Tanggal terpisah</x:v>
      </x:c>
      <x:c r="E267" s="8" t="str">
        <x:v>Sesuai jenis</x:v>
      </x:c>
      <x:c r="F267" s="8" t="str">
        <x:v>Kalender disahkan</x:v>
      </x:c>
      <x:c r="G267" s="8" t="str">
        <x:v>Status bayar dan lapor terpisah</x:v>
      </x:c>
      <x:c r="H267" s="8" t="str">
        <x:v>Draf atau dikembalikan; sesudah diajukan baca saja. Revisi setelah posted melalui prosedur koreksi.</x:v>
      </x:c>
    </x:row>
    <x:row r="268" ht="100" customHeight="1">
      <x:c r="A268" s="8" t="str">
        <x:v>F25 Dokumen / kewajiban pajak</x:v>
      </x:c>
      <x:c r="B268" s="8" t="str">
        <x:v>Tim pajak</x:v>
      </x:c>
      <x:c r="C268" s="8" t="str">
        <x:v>Koreksi sumber</x:v>
      </x:c>
      <x:c r="D268" s="8" t="str">
        <x:v>Referensi + alasan</x:v>
      </x:c>
      <x:c r="E268" s="8" t="str">
        <x:v>Jika berubah</x:v>
      </x:c>
      <x:c r="F268" s="8" t="str">
        <x:v>Dokumen pembetulan</x:v>
      </x:c>
      <x:c r="G268" s="8" t="str">
        <x:v>Versi dan dampak terjaga</x:v>
      </x:c>
      <x:c r="H268" s="8" t="str">
        <x:v>Draf atau dikembalikan; sesudah diajukan baca saja. Revisi setelah posted melalui prosedur koreksi.</x:v>
      </x:c>
    </x:row>
    <x:row r="269" ht="100" customHeight="1">
      <x:c r="A269" s="8" t="str">
        <x:v>F26 Pelaporan pajak</x:v>
      </x:c>
      <x:c r="B269" s="8" t="str">
        <x:v>Tim pajak</x:v>
      </x:c>
      <x:c r="C269" s="8" t="str">
        <x:v>Nomor dokumen</x:v>
      </x:c>
      <x:c r="D269" s="8" t="str">
        <x:v>Baca saja</x:v>
      </x:c>
      <x:c r="E269" s="8" t="str">
        <x:v>Otomatis</x:v>
      </x:c>
      <x:c r="F269" s="8" t="str">
        <x:v>Sistem</x:v>
      </x:c>
      <x:c r="G269" s="8" t="str">
        <x:v>Tetap satu ID; versi berubah jika revisi</x:v>
      </x:c>
      <x:c r="H269" s="8" t="str">
        <x:v>Draf atau dikembalikan; sesudah diajukan baca saja. Revisi setelah posted melalui prosedur koreksi.</x:v>
      </x:c>
    </x:row>
    <x:row r="270" ht="100" customHeight="1">
      <x:c r="A270" s="8" t="str">
        <x:v>F26 Pelaporan pajak</x:v>
      </x:c>
      <x:c r="B270" s="8" t="str">
        <x:v>Tim pajak</x:v>
      </x:c>
      <x:c r="C270" s="8" t="str">
        <x:v>Unit</x:v>
      </x:c>
      <x:c r="D270" s="8" t="str">
        <x:v>Dropdown</x:v>
      </x:c>
      <x:c r="E270" s="8" t="str">
        <x:v>Ya</x:v>
      </x:c>
      <x:c r="F270" s="8" t="str">
        <x:v>Unit yang boleh diakses</x:v>
      </x:c>
      <x:c r="G270" s="8" t="str">
        <x:v>Akun, pihak dan transaksi sesuai unit</x:v>
      </x:c>
      <x:c r="H270" s="8" t="str">
        <x:v>Draf atau dikembalikan; sesudah diajukan baca saja. Revisi setelah posted melalui prosedur koreksi.</x:v>
      </x:c>
    </x:row>
    <x:row r="271" ht="100" customHeight="1">
      <x:c r="A271" s="8" t="str">
        <x:v>F26 Pelaporan pajak</x:v>
      </x:c>
      <x:c r="B271" s="8" t="str">
        <x:v>Tim pajak</x:v>
      </x:c>
      <x:c r="C271" s="8" t="str">
        <x:v>Tanggal transaksi</x:v>
      </x:c>
      <x:c r="D271" s="8" t="str">
        <x:v>Tanggal</x:v>
      </x:c>
      <x:c r="E271" s="8" t="str">
        <x:v>Ya</x:v>
      </x:c>
      <x:c r="F271" s="8" t="str">
        <x:v>Pengguna</x:v>
      </x:c>
      <x:c r="G271" s="8" t="str">
        <x:v>Periode harus terbuka untuk posting baru</x:v>
      </x:c>
      <x:c r="H271" s="8" t="str">
        <x:v>Draf atau dikembalikan; sesudah diajukan baca saja. Revisi setelah posted melalui prosedur koreksi.</x:v>
      </x:c>
    </x:row>
    <x:row r="272" ht="100" customHeight="1">
      <x:c r="A272" s="8" t="str">
        <x:v>F26 Pelaporan pajak</x:v>
      </x:c>
      <x:c r="B272" s="8" t="str">
        <x:v>Tim pajak</x:v>
      </x:c>
      <x:c r="C272" s="8" t="str">
        <x:v>Keterangan</x:v>
      </x:c>
      <x:c r="D272" s="8" t="str">
        <x:v>Teks</x:v>
      </x:c>
      <x:c r="E272" s="8" t="str">
        <x:v>Sesuai konteks</x:v>
      </x:c>
      <x:c r="F272" s="8" t="str">
        <x:v>Pengguna</x:v>
      </x:c>
      <x:c r="G272" s="8" t="str">
        <x:v>Alasan wajib untuk koreksi atau pengecualian</x:v>
      </x:c>
      <x:c r="H272" s="8" t="str">
        <x:v>Draf atau dikembalikan; sesudah diajukan baca saja. Revisi setelah posted melalui prosedur koreksi.</x:v>
      </x:c>
    </x:row>
    <x:row r="273" ht="100" customHeight="1">
      <x:c r="A273" s="8" t="str">
        <x:v>F26 Pelaporan pajak</x:v>
      </x:c>
      <x:c r="B273" s="8" t="str">
        <x:v>Tim pajak</x:v>
      </x:c>
      <x:c r="C273" s="8" t="str">
        <x:v>Lampiran</x:v>
      </x:c>
      <x:c r="D273" s="8" t="str">
        <x:v>Upload dokumen</x:v>
      </x:c>
      <x:c r="E273" s="8" t="str">
        <x:v>Sesuai jenis</x:v>
      </x:c>
      <x:c r="F273" s="8" t="str">
        <x:v>Pengguna</x:v>
      </x:c>
      <x:c r="G273" s="8" t="str">
        <x:v>Jenis/ukuran sesuai konfigurasi; status unggah terlihat</x:v>
      </x:c>
      <x:c r="H273" s="8" t="str">
        <x:v>Draf atau dikembalikan; sesudah diajukan baca saja. Revisi setelah posted melalui prosedur koreksi.</x:v>
      </x:c>
    </x:row>
    <x:row r="274" ht="100" customHeight="1">
      <x:c r="A274" s="8" t="str">
        <x:v>F26 Pelaporan pajak</x:v>
      </x:c>
      <x:c r="B274" s="8" t="str">
        <x:v>Tim pajak</x:v>
      </x:c>
      <x:c r="C274" s="8" t="str">
        <x:v>Jenis dan masa</x:v>
      </x:c>
      <x:c r="D274" s="8" t="str">
        <x:v>Referensi</x:v>
      </x:c>
      <x:c r="E274" s="8" t="str">
        <x:v>Ya</x:v>
      </x:c>
      <x:c r="F274" s="8" t="str">
        <x:v>Kewajiban/dokumen pajak</x:v>
      </x:c>
      <x:c r="G274" s="8" t="str">
        <x:v>Cakupan unit jelas</x:v>
      </x:c>
      <x:c r="H274" s="8" t="str">
        <x:v>Draf atau dikembalikan; sesudah diajukan baca saja. Revisi setelah posted melalui prosedur koreksi.</x:v>
      </x:c>
    </x:row>
    <x:row r="275" ht="100" customHeight="1">
      <x:c r="A275" s="8" t="str">
        <x:v>F26 Pelaporan pajak</x:v>
      </x:c>
      <x:c r="B275" s="8" t="str">
        <x:v>Tim pajak</x:v>
      </x:c>
      <x:c r="C275" s="8" t="str">
        <x:v>Dokumen yang dilaporkan</x:v>
      </x:c>
      <x:c r="D275" s="8" t="str">
        <x:v>Tabel referensi</x:v>
      </x:c>
      <x:c r="E275" s="8" t="str">
        <x:v>Ya</x:v>
      </x:c>
      <x:c r="F275" s="8" t="str">
        <x:v>Dokumen pajak</x:v>
      </x:c>
      <x:c r="G275" s="8" t="str">
        <x:v>Tidak menyatakan dibayar hanya karena dilaporkan</x:v>
      </x:c>
      <x:c r="H275" s="8" t="str">
        <x:v>Draf atau dikembalikan; sesudah diajukan baca saja. Revisi setelah posted melalui prosedur koreksi.</x:v>
      </x:c>
    </x:row>
    <x:row r="276" ht="100" customHeight="1">
      <x:c r="A276" s="8" t="str">
        <x:v>F26 Pelaporan pajak</x:v>
      </x:c>
      <x:c r="B276" s="8" t="str">
        <x:v>Tim pajak</x:v>
      </x:c>
      <x:c r="C276" s="8" t="str">
        <x:v>Versi laporan</x:v>
      </x:c>
      <x:c r="D276" s="8" t="str">
        <x:v>Baca saja/pilihan</x:v>
      </x:c>
      <x:c r="E276" s="8" t="str">
        <x:v>Ya</x:v>
      </x:c>
      <x:c r="F276" s="8" t="str">
        <x:v>Awal; pembetulan</x:v>
      </x:c>
      <x:c r="G276" s="8" t="str">
        <x:v>Pembetulan tertaut ke versi sebelumnya</x:v>
      </x:c>
      <x:c r="H276" s="8" t="str">
        <x:v>Draf atau dikembalikan; sesudah diajukan baca saja. Revisi setelah posted melalui prosedur koreksi.</x:v>
      </x:c>
    </x:row>
    <x:row r="277" ht="100" customHeight="1">
      <x:c r="A277" s="8" t="str">
        <x:v>F26 Pelaporan pajak</x:v>
      </x:c>
      <x:c r="B277" s="8" t="str">
        <x:v>Tim pajak</x:v>
      </x:c>
      <x:c r="C277" s="8" t="str">
        <x:v>Tanggal lapor aktual</x:v>
      </x:c>
      <x:c r="D277" s="8" t="str">
        <x:v>Tanggal</x:v>
      </x:c>
      <x:c r="E277" s="8" t="str">
        <x:v>Saat dilaporkan</x:v>
      </x:c>
      <x:c r="F277" s="8" t="str">
        <x:v>Hasil pelaporan</x:v>
      </x:c>
      <x:c r="G277" s="8" t="str">
        <x:v>Bukan rencana tanggal</x:v>
      </x:c>
      <x:c r="H277" s="8" t="str">
        <x:v>Draf atau dikembalikan; sesudah diajukan baca saja. Revisi setelah posted melalui prosedur koreksi.</x:v>
      </x:c>
    </x:row>
    <x:row r="278" ht="100" customHeight="1">
      <x:c r="A278" s="8" t="str">
        <x:v>F26 Pelaporan pajak</x:v>
      </x:c>
      <x:c r="B278" s="8" t="str">
        <x:v>Tim pajak</x:v>
      </x:c>
      <x:c r="C278" s="8" t="str">
        <x:v>Nomor tanda terima</x:v>
      </x:c>
      <x:c r="D278" s="8" t="str">
        <x:v>Teks</x:v>
      </x:c>
      <x:c r="E278" s="8" t="str">
        <x:v>Sesuai pelaporan</x:v>
      </x:c>
      <x:c r="F278" s="8" t="str">
        <x:v>Hasil pelaporan</x:v>
      </x:c>
      <x:c r="G278" s="8" t="str">
        <x:v>Tertaut pada masa dan versi</x:v>
      </x:c>
      <x:c r="H278" s="8" t="str">
        <x:v>Draf atau dikembalikan; sesudah diajukan baca saja. Revisi setelah posted melalui prosedur koreksi.</x:v>
      </x:c>
    </x:row>
    <x:row r="279" ht="100" customHeight="1">
      <x:c r="A279" s="8" t="str">
        <x:v>F26 Pelaporan pajak</x:v>
      </x:c>
      <x:c r="B279" s="8" t="str">
        <x:v>Tim pajak</x:v>
      </x:c>
      <x:c r="C279" s="8" t="str">
        <x:v>Bukti pelaporan</x:v>
      </x:c>
      <x:c r="D279" s="8" t="str">
        <x:v>Dokumen</x:v>
      </x:c>
      <x:c r="E279" s="8" t="str">
        <x:v>Saat selesai</x:v>
      </x:c>
      <x:c r="F279" s="8" t="str">
        <x:v>Hasil pelaporan</x:v>
      </x:c>
      <x:c r="G279" s="8" t="str">
        <x:v>Label dilaporkan memerlukan bukti sesuai proses</x:v>
      </x:c>
      <x:c r="H279" s="8" t="str">
        <x:v>Draf atau dikembalikan; sesudah diajukan baca saja. Revisi setelah posted melalui prosedur koreksi.</x:v>
      </x:c>
    </x:row>
    <x:row r="280" ht="100" customHeight="1">
      <x:c r="A280" s="8" t="str">
        <x:v>F27 Kontrak pinjaman dan angsuran</x:v>
      </x:c>
      <x:c r="B280" s="8" t="str">
        <x:v>Treasury</x:v>
      </x:c>
      <x:c r="C280" s="8" t="str">
        <x:v>Nomor dokumen</x:v>
      </x:c>
      <x:c r="D280" s="8" t="str">
        <x:v>Baca saja</x:v>
      </x:c>
      <x:c r="E280" s="8" t="str">
        <x:v>Otomatis</x:v>
      </x:c>
      <x:c r="F280" s="8" t="str">
        <x:v>Sistem</x:v>
      </x:c>
      <x:c r="G280" s="8" t="str">
        <x:v>Tetap satu ID; versi berubah jika revisi</x:v>
      </x:c>
      <x:c r="H280" s="8" t="str">
        <x:v>Draf atau dikembalikan; sesudah diajukan baca saja. Revisi setelah posted melalui prosedur koreksi.</x:v>
      </x:c>
    </x:row>
    <x:row r="281" ht="100" customHeight="1">
      <x:c r="A281" s="8" t="str">
        <x:v>F27 Kontrak pinjaman dan angsuran</x:v>
      </x:c>
      <x:c r="B281" s="8" t="str">
        <x:v>Treasury</x:v>
      </x:c>
      <x:c r="C281" s="8" t="str">
        <x:v>Unit</x:v>
      </x:c>
      <x:c r="D281" s="8" t="str">
        <x:v>Dropdown</x:v>
      </x:c>
      <x:c r="E281" s="8" t="str">
        <x:v>Ya</x:v>
      </x:c>
      <x:c r="F281" s="8" t="str">
        <x:v>Unit yang boleh diakses</x:v>
      </x:c>
      <x:c r="G281" s="8" t="str">
        <x:v>Akun, pihak dan transaksi sesuai unit</x:v>
      </x:c>
      <x:c r="H281" s="8" t="str">
        <x:v>Draf atau dikembalikan; sesudah diajukan baca saja. Revisi setelah posted melalui prosedur koreksi.</x:v>
      </x:c>
    </x:row>
    <x:row r="282" ht="100" customHeight="1">
      <x:c r="A282" s="8" t="str">
        <x:v>F27 Kontrak pinjaman dan angsuran</x:v>
      </x:c>
      <x:c r="B282" s="8" t="str">
        <x:v>Treasury</x:v>
      </x:c>
      <x:c r="C282" s="8" t="str">
        <x:v>Tanggal transaksi</x:v>
      </x:c>
      <x:c r="D282" s="8" t="str">
        <x:v>Tanggal</x:v>
      </x:c>
      <x:c r="E282" s="8" t="str">
        <x:v>Ya</x:v>
      </x:c>
      <x:c r="F282" s="8" t="str">
        <x:v>Pengguna</x:v>
      </x:c>
      <x:c r="G282" s="8" t="str">
        <x:v>Periode harus terbuka untuk posting baru</x:v>
      </x:c>
      <x:c r="H282" s="8" t="str">
        <x:v>Draf atau dikembalikan; sesudah diajukan baca saja. Revisi setelah posted melalui prosedur koreksi.</x:v>
      </x:c>
    </x:row>
    <x:row r="283" ht="100" customHeight="1">
      <x:c r="A283" s="8" t="str">
        <x:v>F27 Kontrak pinjaman dan angsuran</x:v>
      </x:c>
      <x:c r="B283" s="8" t="str">
        <x:v>Treasury</x:v>
      </x:c>
      <x:c r="C283" s="8" t="str">
        <x:v>Keterangan</x:v>
      </x:c>
      <x:c r="D283" s="8" t="str">
        <x:v>Teks</x:v>
      </x:c>
      <x:c r="E283" s="8" t="str">
        <x:v>Sesuai konteks</x:v>
      </x:c>
      <x:c r="F283" s="8" t="str">
        <x:v>Pengguna</x:v>
      </x:c>
      <x:c r="G283" s="8" t="str">
        <x:v>Alasan wajib untuk koreksi atau pengecualian</x:v>
      </x:c>
      <x:c r="H283" s="8" t="str">
        <x:v>Draf atau dikembalikan; sesudah diajukan baca saja. Revisi setelah posted melalui prosedur koreksi.</x:v>
      </x:c>
    </x:row>
    <x:row r="284" ht="100" customHeight="1">
      <x:c r="A284" s="8" t="str">
        <x:v>F27 Kontrak pinjaman dan angsuran</x:v>
      </x:c>
      <x:c r="B284" s="8" t="str">
        <x:v>Treasury</x:v>
      </x:c>
      <x:c r="C284" s="8" t="str">
        <x:v>Lampiran</x:v>
      </x:c>
      <x:c r="D284" s="8" t="str">
        <x:v>Upload dokumen</x:v>
      </x:c>
      <x:c r="E284" s="8" t="str">
        <x:v>Sesuai jenis</x:v>
      </x:c>
      <x:c r="F284" s="8" t="str">
        <x:v>Pengguna</x:v>
      </x:c>
      <x:c r="G284" s="8" t="str">
        <x:v>Jenis/ukuran sesuai konfigurasi; status unggah terlihat</x:v>
      </x:c>
      <x:c r="H284" s="8" t="str">
        <x:v>Draf atau dikembalikan; sesudah diajukan baca saja. Revisi setelah posted melalui prosedur koreksi.</x:v>
      </x:c>
    </x:row>
    <x:row r="285" ht="100" customHeight="1">
      <x:c r="A285" s="8" t="str">
        <x:v>F27 Kontrak pinjaman dan angsuran</x:v>
      </x:c>
      <x:c r="B285" s="8" t="str">
        <x:v>Treasury</x:v>
      </x:c>
      <x:c r="C285" s="8" t="str">
        <x:v>Pemberi dana</x:v>
      </x:c>
      <x:c r="D285" s="8" t="str">
        <x:v>Referensi</x:v>
      </x:c>
      <x:c r="E285" s="8" t="str">
        <x:v>Ya</x:v>
      </x:c>
      <x:c r="F285" s="8" t="str">
        <x:v>Bank/pihak sah</x:v>
      </x:c>
      <x:c r="G285" s="8" t="str">
        <x:v>Tidak selalu satu bank default</x:v>
      </x:c>
      <x:c r="H285" s="8" t="str">
        <x:v>Draf atau dikembalikan; sesudah diajukan baca saja. Revisi setelah posted melalui prosedur koreksi.</x:v>
      </x:c>
    </x:row>
    <x:row r="286" ht="100" customHeight="1">
      <x:c r="A286" s="8" t="str">
        <x:v>F27 Kontrak pinjaman dan angsuran</x:v>
      </x:c>
      <x:c r="B286" s="8" t="str">
        <x:v>Treasury</x:v>
      </x:c>
      <x:c r="C286" s="8" t="str">
        <x:v>Nomor kontrak</x:v>
      </x:c>
      <x:c r="D286" s="8" t="str">
        <x:v>Teks</x:v>
      </x:c>
      <x:c r="E286" s="8" t="str">
        <x:v>Ya</x:v>
      </x:c>
      <x:c r="F286" s="8" t="str">
        <x:v>Kontrak</x:v>
      </x:c>
      <x:c r="G286" s="8" t="str">
        <x:v>Identitas dan versi</x:v>
      </x:c>
      <x:c r="H286" s="8" t="str">
        <x:v>Draf atau dikembalikan; sesudah diajukan baca saja. Revisi setelah posted melalui prosedur koreksi.</x:v>
      </x:c>
    </x:row>
    <x:row r="287" ht="100" customHeight="1">
      <x:c r="A287" s="8" t="str">
        <x:v>F27 Kontrak pinjaman dan angsuran</x:v>
      </x:c>
      <x:c r="B287" s="8" t="str">
        <x:v>Treasury</x:v>
      </x:c>
      <x:c r="C287" s="8" t="str">
        <x:v>Pokok disepakati Rp</x:v>
      </x:c>
      <x:c r="D287" s="8" t="str">
        <x:v>Nominal</x:v>
      </x:c>
      <x:c r="E287" s="8" t="str">
        <x:v>Ya</x:v>
      </x:c>
      <x:c r="F287" s="8" t="str">
        <x:v>Kontrak</x:v>
      </x:c>
      <x:c r="G287" s="8" t="str">
        <x:v>Terpisah dari pencairan aktual</x:v>
      </x:c>
      <x:c r="H287" s="8" t="str">
        <x:v>Draf atau dikembalikan; sesudah diajukan baca saja. Revisi setelah posted melalui prosedur koreksi.</x:v>
      </x:c>
    </x:row>
    <x:row r="288" ht="100" customHeight="1">
      <x:c r="A288" s="8" t="str">
        <x:v>F27 Kontrak pinjaman dan angsuran</x:v>
      </x:c>
      <x:c r="B288" s="8" t="str">
        <x:v>Treasury</x:v>
      </x:c>
      <x:c r="C288" s="8" t="str">
        <x:v>Tanggal mulai dan jatuh tempo</x:v>
      </x:c>
      <x:c r="D288" s="8" t="str">
        <x:v>Tanggal terpisah</x:v>
      </x:c>
      <x:c r="E288" s="8" t="str">
        <x:v>Ya</x:v>
      </x:c>
      <x:c r="F288" s="8" t="str">
        <x:v>Kontrak</x:v>
      </x:c>
      <x:c r="G288" s="8" t="str">
        <x:v>Urutan valid</x:v>
      </x:c>
      <x:c r="H288" s="8" t="str">
        <x:v>Draf atau dikembalikan; sesudah diajukan baca saja. Revisi setelah posted melalui prosedur koreksi.</x:v>
      </x:c>
    </x:row>
    <x:row r="289" ht="100" customHeight="1">
      <x:c r="A289" s="8" t="str">
        <x:v>F27 Kontrak pinjaman dan angsuran</x:v>
      </x:c>
      <x:c r="B289" s="8" t="str">
        <x:v>Treasury</x:v>
      </x:c>
      <x:c r="C289" s="8" t="str">
        <x:v>Jadwal pokok/bunga/biaya</x:v>
      </x:c>
      <x:c r="D289" s="8" t="str">
        <x:v>Tabel anak</x:v>
      </x:c>
      <x:c r="E289" s="8" t="str">
        <x:v>Ya jika angsuran</x:v>
      </x:c>
      <x:c r="F289" s="8" t="str">
        <x:v>Kontrak disahkan</x:v>
      </x:c>
      <x:c r="G289" s="8" t="str">
        <x:v>Total pokok dan sisa dapat dijelaskan; bunga tidak dikarang</x:v>
      </x:c>
      <x:c r="H289" s="8" t="str">
        <x:v>Draf atau dikembalikan; sesudah diajukan baca saja. Revisi setelah posted melalui prosedur koreksi.</x:v>
      </x:c>
    </x:row>
    <x:row r="290" ht="100" customHeight="1">
      <x:c r="A290" s="8" t="str">
        <x:v>F27 Kontrak pinjaman dan angsuran</x:v>
      </x:c>
      <x:c r="B290" s="8" t="str">
        <x:v>Treasury</x:v>
      </x:c>
      <x:c r="C290" s="8" t="str">
        <x:v>Rekening pencairan</x:v>
      </x:c>
      <x:c r="D290" s="8" t="str">
        <x:v>Referensi</x:v>
      </x:c>
      <x:c r="E290" s="8" t="str">
        <x:v>Saat pencairan</x:v>
      </x:c>
      <x:c r="F290" s="8" t="str">
        <x:v>Kas &amp; Bank</x:v>
      </x:c>
      <x:c r="G290" s="8" t="str">
        <x:v>Tautkan F03</x:v>
      </x:c>
      <x:c r="H290" s="8" t="str">
        <x:v>Draf atau dikembalikan; sesudah diajukan baca saja. Revisi setelah posted melalui prosedur koreksi.</x:v>
      </x:c>
    </x:row>
    <x:row r="291" ht="100" customHeight="1">
      <x:c r="A291" s="8" t="str">
        <x:v>F27 Kontrak pinjaman dan angsuran</x:v>
      </x:c>
      <x:c r="B291" s="8" t="str">
        <x:v>Treasury</x:v>
      </x:c>
      <x:c r="C291" s="8" t="str">
        <x:v>Pembayaran angsuran</x:v>
      </x:c>
      <x:c r="D291" s="8" t="str">
        <x:v>Referensi</x:v>
      </x:c>
      <x:c r="E291" s="8" t="str">
        <x:v>Saat bayar</x:v>
      </x:c>
      <x:c r="F291" s="8" t="str">
        <x:v>F02</x:v>
      </x:c>
      <x:c r="G291" s="8" t="str">
        <x:v>Alokasi pokok, bunga dan biaya terpisah</x:v>
      </x:c>
      <x:c r="H291" s="8" t="str">
        <x:v>Draf atau dikembalikan; sesudah diajukan baca saja. Revisi setelah posted melalui prosedur koreksi.</x:v>
      </x:c>
    </x:row>
    <x:row r="292" ht="100" customHeight="1">
      <x:c r="A292" s="8" t="str">
        <x:v>F28 Transaksi modal / distribusi</x:v>
      </x:c>
      <x:c r="B292" s="8" t="str">
        <x:v>Akuntan / pemutus berwenang</x:v>
      </x:c>
      <x:c r="C292" s="8" t="str">
        <x:v>Nomor dokumen</x:v>
      </x:c>
      <x:c r="D292" s="8" t="str">
        <x:v>Baca saja</x:v>
      </x:c>
      <x:c r="E292" s="8" t="str">
        <x:v>Otomatis</x:v>
      </x:c>
      <x:c r="F292" s="8" t="str">
        <x:v>Sistem</x:v>
      </x:c>
      <x:c r="G292" s="8" t="str">
        <x:v>Tetap satu ID; versi berubah jika revisi</x:v>
      </x:c>
      <x:c r="H292" s="8" t="str">
        <x:v>Draf atau dikembalikan; sesudah diajukan baca saja. Revisi setelah posted melalui prosedur koreksi.</x:v>
      </x:c>
    </x:row>
    <x:row r="293" ht="100" customHeight="1">
      <x:c r="A293" s="8" t="str">
        <x:v>F28 Transaksi modal / distribusi</x:v>
      </x:c>
      <x:c r="B293" s="8" t="str">
        <x:v>Akuntan / pemutus berwenang</x:v>
      </x:c>
      <x:c r="C293" s="8" t="str">
        <x:v>Unit</x:v>
      </x:c>
      <x:c r="D293" s="8" t="str">
        <x:v>Dropdown</x:v>
      </x:c>
      <x:c r="E293" s="8" t="str">
        <x:v>Ya</x:v>
      </x:c>
      <x:c r="F293" s="8" t="str">
        <x:v>Unit yang boleh diakses</x:v>
      </x:c>
      <x:c r="G293" s="8" t="str">
        <x:v>Akun, pihak dan transaksi sesuai unit</x:v>
      </x:c>
      <x:c r="H293" s="8" t="str">
        <x:v>Draf atau dikembalikan; sesudah diajukan baca saja. Revisi setelah posted melalui prosedur koreksi.</x:v>
      </x:c>
    </x:row>
    <x:row r="294" ht="100" customHeight="1">
      <x:c r="A294" s="8" t="str">
        <x:v>F28 Transaksi modal / distribusi</x:v>
      </x:c>
      <x:c r="B294" s="8" t="str">
        <x:v>Akuntan / pemutus berwenang</x:v>
      </x:c>
      <x:c r="C294" s="8" t="str">
        <x:v>Tanggal transaksi</x:v>
      </x:c>
      <x:c r="D294" s="8" t="str">
        <x:v>Tanggal</x:v>
      </x:c>
      <x:c r="E294" s="8" t="str">
        <x:v>Ya</x:v>
      </x:c>
      <x:c r="F294" s="8" t="str">
        <x:v>Pengguna</x:v>
      </x:c>
      <x:c r="G294" s="8" t="str">
        <x:v>Periode harus terbuka untuk posting baru</x:v>
      </x:c>
      <x:c r="H294" s="8" t="str">
        <x:v>Draf atau dikembalikan; sesudah diajukan baca saja. Revisi setelah posted melalui prosedur koreksi.</x:v>
      </x:c>
    </x:row>
    <x:row r="295" ht="100" customHeight="1">
      <x:c r="A295" s="8" t="str">
        <x:v>F28 Transaksi modal / distribusi</x:v>
      </x:c>
      <x:c r="B295" s="8" t="str">
        <x:v>Akuntan / pemutus berwenang</x:v>
      </x:c>
      <x:c r="C295" s="8" t="str">
        <x:v>Keterangan</x:v>
      </x:c>
      <x:c r="D295" s="8" t="str">
        <x:v>Teks</x:v>
      </x:c>
      <x:c r="E295" s="8" t="str">
        <x:v>Sesuai konteks</x:v>
      </x:c>
      <x:c r="F295" s="8" t="str">
        <x:v>Pengguna</x:v>
      </x:c>
      <x:c r="G295" s="8" t="str">
        <x:v>Alasan wajib untuk koreksi atau pengecualian</x:v>
      </x:c>
      <x:c r="H295" s="8" t="str">
        <x:v>Draf atau dikembalikan; sesudah diajukan baca saja. Revisi setelah posted melalui prosedur koreksi.</x:v>
      </x:c>
    </x:row>
    <x:row r="296" ht="100" customHeight="1">
      <x:c r="A296" s="8" t="str">
        <x:v>F28 Transaksi modal / distribusi</x:v>
      </x:c>
      <x:c r="B296" s="8" t="str">
        <x:v>Akuntan / pemutus berwenang</x:v>
      </x:c>
      <x:c r="C296" s="8" t="str">
        <x:v>Lampiran</x:v>
      </x:c>
      <x:c r="D296" s="8" t="str">
        <x:v>Upload dokumen</x:v>
      </x:c>
      <x:c r="E296" s="8" t="str">
        <x:v>Sesuai jenis</x:v>
      </x:c>
      <x:c r="F296" s="8" t="str">
        <x:v>Pengguna</x:v>
      </x:c>
      <x:c r="G296" s="8" t="str">
        <x:v>Jenis/ukuran sesuai konfigurasi; status unggah terlihat</x:v>
      </x:c>
      <x:c r="H296" s="8" t="str">
        <x:v>Draf atau dikembalikan; sesudah diajukan baca saja. Revisi setelah posted melalui prosedur koreksi.</x:v>
      </x:c>
    </x:row>
    <x:row r="297" ht="100" customHeight="1">
      <x:c r="A297" s="8" t="str">
        <x:v>F28 Transaksi modal / distribusi</x:v>
      </x:c>
      <x:c r="B297" s="8" t="str">
        <x:v>Akuntan / pemutus berwenang</x:v>
      </x:c>
      <x:c r="C297" s="8" t="str">
        <x:v>Pemilik</x:v>
      </x:c>
      <x:c r="D297" s="8" t="str">
        <x:v>Referensi</x:v>
      </x:c>
      <x:c r="E297" s="8" t="str">
        <x:v>Ya</x:v>
      </x:c>
      <x:c r="F297" s="8" t="str">
        <x:v>Master pemilik</x:v>
      </x:c>
      <x:c r="G297" s="8" t="str">
        <x:v>Sesuai dasar keputusan</x:v>
      </x:c>
      <x:c r="H297" s="8" t="str">
        <x:v>Draf atau dikembalikan; sesudah diajukan baca saja. Revisi setelah posted melalui prosedur koreksi.</x:v>
      </x:c>
    </x:row>
    <x:row r="298" ht="100" customHeight="1">
      <x:c r="A298" s="8" t="str">
        <x:v>F28 Transaksi modal / distribusi</x:v>
      </x:c>
      <x:c r="B298" s="8" t="str">
        <x:v>Akuntan / pemutus berwenang</x:v>
      </x:c>
      <x:c r="C298" s="8" t="str">
        <x:v>Jenis perubahan</x:v>
      </x:c>
      <x:c r="D298" s="8" t="str">
        <x:v>Dropdown</x:v>
      </x:c>
      <x:c r="E298" s="8" t="str">
        <x:v>Ya</x:v>
      </x:c>
      <x:c r="F298" s="8" t="str">
        <x:v>Setoran; distribusi; perubahan lain sah</x:v>
      </x:c>
      <x:c r="G298" s="8" t="str">
        <x:v>Tidak memasukkan utang operasional sebagai modal</x:v>
      </x:c>
      <x:c r="H298" s="8" t="str">
        <x:v>Draf atau dikembalikan; sesudah diajukan baca saja. Revisi setelah posted melalui prosedur koreksi.</x:v>
      </x:c>
    </x:row>
    <x:row r="299" ht="100" customHeight="1">
      <x:c r="A299" s="8" t="str">
        <x:v>F28 Transaksi modal / distribusi</x:v>
      </x:c>
      <x:c r="B299" s="8" t="str">
        <x:v>Akuntan / pemutus berwenang</x:v>
      </x:c>
      <x:c r="C299" s="8" t="str">
        <x:v>Dasar keputusan</x:v>
      </x:c>
      <x:c r="D299" s="8" t="str">
        <x:v>Dokumen/referensi</x:v>
      </x:c>
      <x:c r="E299" s="8" t="str">
        <x:v>Ya</x:v>
      </x:c>
      <x:c r="F299" s="8" t="str">
        <x:v>Keputusan pemilik/organisasi</x:v>
      </x:c>
      <x:c r="G299" s="8" t="str">
        <x:v>Tanggal dan mandat jelas</x:v>
      </x:c>
      <x:c r="H299" s="8" t="str">
        <x:v>Draf atau dikembalikan; sesudah diajukan baca saja. Revisi setelah posted melalui prosedur koreksi.</x:v>
      </x:c>
    </x:row>
    <x:row r="300" ht="100" customHeight="1">
      <x:c r="A300" s="8" t="str">
        <x:v>F28 Transaksi modal / distribusi</x:v>
      </x:c>
      <x:c r="B300" s="8" t="str">
        <x:v>Akuntan / pemutus berwenang</x:v>
      </x:c>
      <x:c r="C300" s="8" t="str">
        <x:v>Nominal Rp</x:v>
      </x:c>
      <x:c r="D300" s="8" t="str">
        <x:v>Nominal</x:v>
      </x:c>
      <x:c r="E300" s="8" t="str">
        <x:v>Ya</x:v>
      </x:c>
      <x:c r="F300" s="8" t="str">
        <x:v>Keputusan</x:v>
      </x:c>
      <x:c r="G300" s="8" t="str">
        <x:v>Kategori menentukan pencatatan</x:v>
      </x:c>
      <x:c r="H300" s="8" t="str">
        <x:v>Draf atau dikembalikan; sesudah diajukan baca saja. Revisi setelah posted melalui prosedur koreksi.</x:v>
      </x:c>
    </x:row>
    <x:row r="301" ht="100" customHeight="1">
      <x:c r="A301" s="8" t="str">
        <x:v>F28 Transaksi modal / distribusi</x:v>
      </x:c>
      <x:c r="B301" s="8" t="str">
        <x:v>Akuntan / pemutus berwenang</x:v>
      </x:c>
      <x:c r="C301" s="8" t="str">
        <x:v>Rekening/uang terkait</x:v>
      </x:c>
      <x:c r="D301" s="8" t="str">
        <x:v>Referensi</x:v>
      </x:c>
      <x:c r="E301" s="8" t="str">
        <x:v>Jika ada kas</x:v>
      </x:c>
      <x:c r="F301" s="8" t="str">
        <x:v>F02/F03</x:v>
      </x:c>
      <x:c r="G301" s="8" t="str">
        <x:v>Satu receipt/payment</x:v>
      </x:c>
      <x:c r="H301" s="8" t="str">
        <x:v>Draf atau dikembalikan; sesudah diajukan baca saja. Revisi setelah posted melalui prosedur koreksi.</x:v>
      </x:c>
    </x:row>
    <x:row r="302" ht="100" customHeight="1">
      <x:c r="A302" s="8" t="str">
        <x:v>F28 Transaksi modal / distribusi</x:v>
      </x:c>
      <x:c r="B302" s="8" t="str">
        <x:v>Akuntan / pemutus berwenang</x:v>
      </x:c>
      <x:c r="C302" s="8" t="str">
        <x:v>Hasil periode</x:v>
      </x:c>
      <x:c r="D302" s="8" t="str">
        <x:v>Baca saja</x:v>
      </x:c>
      <x:c r="E302" s="8" t="str">
        <x:v>Jika ditampilkan</x:v>
      </x:c>
      <x:c r="F302" s="8" t="str">
        <x:v>GL/laporan/periode</x:v>
      </x:c>
      <x:c r="G302" s="8" t="str">
        <x:v>Bukan field input laba manual</x:v>
      </x:c>
      <x:c r="H302" s="8" t="str">
        <x:v>Draf atau dikembalikan; sesudah diajukan baca saja. Revisi setelah posted melalui prosedur koreksi.</x:v>
      </x:c>
    </x:row>
    <x:row r="303" ht="100" customHeight="1">
      <x:c r="A303" s="8" t="str">
        <x:v>F29 Jurnal manual</x:v>
      </x:c>
      <x:c r="B303" s="8" t="str">
        <x:v>Akuntansi</x:v>
      </x:c>
      <x:c r="C303" s="8" t="str">
        <x:v>Nomor dokumen</x:v>
      </x:c>
      <x:c r="D303" s="8" t="str">
        <x:v>Baca saja</x:v>
      </x:c>
      <x:c r="E303" s="8" t="str">
        <x:v>Otomatis</x:v>
      </x:c>
      <x:c r="F303" s="8" t="str">
        <x:v>Sistem</x:v>
      </x:c>
      <x:c r="G303" s="8" t="str">
        <x:v>Tetap satu ID; versi berubah jika revisi</x:v>
      </x:c>
      <x:c r="H303" s="8" t="str">
        <x:v>Draf atau dikembalikan; sesudah diajukan baca saja. Revisi setelah posted melalui prosedur koreksi.</x:v>
      </x:c>
    </x:row>
    <x:row r="304" ht="100" customHeight="1">
      <x:c r="A304" s="8" t="str">
        <x:v>F29 Jurnal manual</x:v>
      </x:c>
      <x:c r="B304" s="8" t="str">
        <x:v>Akuntansi</x:v>
      </x:c>
      <x:c r="C304" s="8" t="str">
        <x:v>Unit</x:v>
      </x:c>
      <x:c r="D304" s="8" t="str">
        <x:v>Dropdown</x:v>
      </x:c>
      <x:c r="E304" s="8" t="str">
        <x:v>Ya</x:v>
      </x:c>
      <x:c r="F304" s="8" t="str">
        <x:v>Unit yang boleh diakses</x:v>
      </x:c>
      <x:c r="G304" s="8" t="str">
        <x:v>Akun, pihak dan transaksi sesuai unit</x:v>
      </x:c>
      <x:c r="H304" s="8" t="str">
        <x:v>Draf atau dikembalikan; sesudah diajukan baca saja. Revisi setelah posted melalui prosedur koreksi.</x:v>
      </x:c>
    </x:row>
    <x:row r="305" ht="100" customHeight="1">
      <x:c r="A305" s="8" t="str">
        <x:v>F29 Jurnal manual</x:v>
      </x:c>
      <x:c r="B305" s="8" t="str">
        <x:v>Akuntansi</x:v>
      </x:c>
      <x:c r="C305" s="8" t="str">
        <x:v>Tanggal transaksi</x:v>
      </x:c>
      <x:c r="D305" s="8" t="str">
        <x:v>Tanggal</x:v>
      </x:c>
      <x:c r="E305" s="8" t="str">
        <x:v>Ya</x:v>
      </x:c>
      <x:c r="F305" s="8" t="str">
        <x:v>Pengguna</x:v>
      </x:c>
      <x:c r="G305" s="8" t="str">
        <x:v>Periode harus terbuka untuk posting baru</x:v>
      </x:c>
      <x:c r="H305" s="8" t="str">
        <x:v>Draf atau dikembalikan; sesudah diajukan baca saja. Revisi setelah posted melalui prosedur koreksi.</x:v>
      </x:c>
    </x:row>
    <x:row r="306" ht="100" customHeight="1">
      <x:c r="A306" s="8" t="str">
        <x:v>F29 Jurnal manual</x:v>
      </x:c>
      <x:c r="B306" s="8" t="str">
        <x:v>Akuntansi</x:v>
      </x:c>
      <x:c r="C306" s="8" t="str">
        <x:v>Keterangan</x:v>
      </x:c>
      <x:c r="D306" s="8" t="str">
        <x:v>Teks</x:v>
      </x:c>
      <x:c r="E306" s="8" t="str">
        <x:v>Sesuai konteks</x:v>
      </x:c>
      <x:c r="F306" s="8" t="str">
        <x:v>Pengguna</x:v>
      </x:c>
      <x:c r="G306" s="8" t="str">
        <x:v>Alasan wajib untuk koreksi atau pengecualian</x:v>
      </x:c>
      <x:c r="H306" s="8" t="str">
        <x:v>Draf atau dikembalikan; sesudah diajukan baca saja. Revisi setelah posted melalui prosedur koreksi.</x:v>
      </x:c>
    </x:row>
    <x:row r="307" ht="100" customHeight="1">
      <x:c r="A307" s="8" t="str">
        <x:v>F29 Jurnal manual</x:v>
      </x:c>
      <x:c r="B307" s="8" t="str">
        <x:v>Akuntansi</x:v>
      </x:c>
      <x:c r="C307" s="8" t="str">
        <x:v>Lampiran</x:v>
      </x:c>
      <x:c r="D307" s="8" t="str">
        <x:v>Upload dokumen</x:v>
      </x:c>
      <x:c r="E307" s="8" t="str">
        <x:v>Sesuai jenis</x:v>
      </x:c>
      <x:c r="F307" s="8" t="str">
        <x:v>Pengguna</x:v>
      </x:c>
      <x:c r="G307" s="8" t="str">
        <x:v>Jenis/ukuran sesuai konfigurasi; status unggah terlihat</x:v>
      </x:c>
      <x:c r="H307" s="8" t="str">
        <x:v>Draf atau dikembalikan; sesudah diajukan baca saja. Revisi setelah posted melalui prosedur koreksi.</x:v>
      </x:c>
    </x:row>
    <x:row r="308" ht="100" customHeight="1">
      <x:c r="A308" s="8" t="str">
        <x:v>F29 Jurnal manual</x:v>
      </x:c>
      <x:c r="B308" s="8" t="str">
        <x:v>Akuntansi</x:v>
      </x:c>
      <x:c r="C308" s="8" t="str">
        <x:v>Jenis jurnal</x:v>
      </x:c>
      <x:c r="D308" s="8" t="str">
        <x:v>Dropdown</x:v>
      </x:c>
      <x:c r="E308" s="8" t="str">
        <x:v>Ya</x:v>
      </x:c>
      <x:c r="F308" s="8" t="str">
        <x:v>Jenis yang disahkan</x:v>
      </x:c>
      <x:c r="G308" s="8" t="str">
        <x:v>Jurnal otomatis dikoreksi dari sumber</x:v>
      </x:c>
      <x:c r="H308" s="8" t="str">
        <x:v>Draf atau dikembalikan; sesudah diajukan baca saja. Revisi setelah posted melalui prosedur koreksi.</x:v>
      </x:c>
    </x:row>
    <x:row r="309" ht="100" customHeight="1">
      <x:c r="A309" s="8" t="str">
        <x:v>F29 Jurnal manual</x:v>
      </x:c>
      <x:c r="B309" s="8" t="str">
        <x:v>Akuntansi</x:v>
      </x:c>
      <x:c r="C309" s="8" t="str">
        <x:v>Rincian akun/unit</x:v>
      </x:c>
      <x:c r="D309" s="8" t="str">
        <x:v>Tabel anak</x:v>
      </x:c>
      <x:c r="E309" s="8" t="str">
        <x:v>Ya</x:v>
      </x:c>
      <x:c r="F309" s="8" t="str">
        <x:v>COA dan dimensi berizin</x:v>
      </x:c>
      <x:c r="G309" s="8" t="str">
        <x:v>Aktif, postable, unit dan izin sesuai</x:v>
      </x:c>
      <x:c r="H309" s="8" t="str">
        <x:v>Draf atau dikembalikan; sesudah diajukan baca saja. Revisi setelah posted melalui prosedur koreksi.</x:v>
      </x:c>
    </x:row>
    <x:row r="310" ht="100" customHeight="1">
      <x:c r="A310" s="8" t="str">
        <x:v>F29 Jurnal manual</x:v>
      </x:c>
      <x:c r="B310" s="8" t="str">
        <x:v>Akuntansi</x:v>
      </x:c>
      <x:c r="C310" s="8" t="str">
        <x:v>Debit/kredit Rp</x:v>
      </x:c>
      <x:c r="D310" s="8" t="str">
        <x:v>Nominal per baris</x:v>
      </x:c>
      <x:c r="E310" s="8" t="str">
        <x:v>Ya</x:v>
      </x:c>
      <x:c r="F310" s="8" t="str">
        <x:v>Akuntan</x:v>
      </x:c>
      <x:c r="G310" s="8" t="str">
        <x:v>Tepat satu sisi per baris; jumlah debit = kredit</x:v>
      </x:c>
      <x:c r="H310" s="8" t="str">
        <x:v>Draf atau dikembalikan; sesudah diajukan baca saja. Revisi setelah posted melalui prosedur koreksi.</x:v>
      </x:c>
    </x:row>
    <x:row r="311" ht="100" customHeight="1">
      <x:c r="A311" s="8" t="str">
        <x:v>F29 Jurnal manual</x:v>
      </x:c>
      <x:c r="B311" s="8" t="str">
        <x:v>Akuntansi</x:v>
      </x:c>
      <x:c r="C311" s="8" t="str">
        <x:v>Referensi sumber</x:v>
      </x:c>
      <x:c r="D311" s="8" t="str">
        <x:v>Referensi</x:v>
      </x:c>
      <x:c r="E311" s="8" t="str">
        <x:v>Jika ada</x:v>
      </x:c>
      <x:c r="F311" s="8" t="str">
        <x:v>Dokumen terkait</x:v>
      </x:c>
      <x:c r="G311" s="8" t="str">
        <x:v>Cegah pencatatan ganda kejadian yang sudah punya dokumen</x:v>
      </x:c>
      <x:c r="H311" s="8" t="str">
        <x:v>Draf atau dikembalikan; sesudah diajukan baca saja. Revisi setelah posted melalui prosedur koreksi.</x:v>
      </x:c>
    </x:row>
    <x:row r="312" ht="100" customHeight="1">
      <x:c r="A312" s="8" t="str">
        <x:v>F29 Jurnal manual</x:v>
      </x:c>
      <x:c r="B312" s="8" t="str">
        <x:v>Akuntansi</x:v>
      </x:c>
      <x:c r="C312" s="8" t="str">
        <x:v>Alasan jurnal</x:v>
      </x:c>
      <x:c r="D312" s="8" t="str">
        <x:v>Teks</x:v>
      </x:c>
      <x:c r="E312" s="8" t="str">
        <x:v>Ya</x:v>
      </x:c>
      <x:c r="F312" s="8" t="str">
        <x:v>Akuntan</x:v>
      </x:c>
      <x:c r="G312" s="8" t="str">
        <x:v>Dapat ditinjau reviewer</x:v>
      </x:c>
      <x:c r="H312" s="8" t="str">
        <x:v>Draf atau dikembalikan; sesudah diajukan baca saja. Revisi setelah posted melalui prosedur koreksi.</x:v>
      </x:c>
    </x:row>
    <x:row r="313" ht="100" customHeight="1">
      <x:c r="A313" s="8" t="str">
        <x:v>F29 Jurnal manual</x:v>
      </x:c>
      <x:c r="B313" s="8" t="str">
        <x:v>Akuntansi</x:v>
      </x:c>
      <x:c r="C313" s="8" t="str">
        <x:v>Pembalikan terjadwal</x:v>
      </x:c>
      <x:c r="D313" s="8" t="str">
        <x:v>Tanggal/pilihan</x:v>
      </x:c>
      <x:c r="E313" s="8" t="str">
        <x:v>Jika diperlukan</x:v>
      </x:c>
      <x:c r="F313" s="8" t="str">
        <x:v>Kebijakan</x:v>
      </x:c>
      <x:c r="G313" s="8" t="str">
        <x:v>Tertaut jurnal asal; periode valid</x:v>
      </x:c>
      <x:c r="H313" s="8" t="str">
        <x:v>Draf atau dikembalikan; sesudah diajukan baca saja. Revisi setelah posted melalui prosedur koreksi.</x:v>
      </x:c>
    </x:row>
    <x:row r="314" ht="100" customHeight="1">
      <x:c r="A314" s="8" t="str">
        <x:v>F30 Tutup / buka kembali periode</x:v>
      </x:c>
      <x:c r="B314" s="8" t="str">
        <x:v>Controller / Akuntansi</x:v>
      </x:c>
      <x:c r="C314" s="8" t="str">
        <x:v>Unit dan periode</x:v>
      </x:c>
      <x:c r="D314" s="8" t="str">
        <x:v>Referensi</x:v>
      </x:c>
      <x:c r="E314" s="8" t="str">
        <x:v>Ya</x:v>
      </x:c>
      <x:c r="F314" s="8" t="str">
        <x:v>Konteks yang diizinkan</x:v>
      </x:c>
      <x:c r="G314" s="8" t="str">
        <x:v>Cakupan jelas</x:v>
      </x:c>
      <x:c r="H314" s="8" t="str">
        <x:v>Draf atau dikembalikan; sesudah diajukan baca saja. Revisi setelah posted melalui prosedur koreksi.</x:v>
      </x:c>
    </x:row>
    <x:row r="315" ht="100" customHeight="1">
      <x:c r="A315" s="8" t="str">
        <x:v>F30 Tutup / buka kembali periode</x:v>
      </x:c>
      <x:c r="B315" s="8" t="str">
        <x:v>Controller / Akuntansi</x:v>
      </x:c>
      <x:c r="C315" s="8" t="str">
        <x:v>Checklist dan masalah terbuka</x:v>
      </x:c>
      <x:c r="D315" s="8" t="str">
        <x:v>Baca saja + referensi</x:v>
      </x:c>
      <x:c r="E315" s="8" t="str">
        <x:v>Ya</x:v>
      </x:c>
      <x:c r="F315" s="8" t="str">
        <x:v>Domain dan rekonsiliasi</x:v>
      </x:c>
      <x:c r="G315" s="8" t="str">
        <x:v>Tidak mengubah kesiapan dengan centang manual</x:v>
      </x:c>
      <x:c r="H315" s="8" t="str">
        <x:v>Draf atau dikembalikan; sesudah diajukan baca saja. Revisi setelah posted melalui prosedur koreksi.</x:v>
      </x:c>
    </x:row>
    <x:row r="316" ht="100" customHeight="1">
      <x:c r="A316" s="8" t="str">
        <x:v>F30 Tutup / buka kembali periode</x:v>
      </x:c>
      <x:c r="B316" s="8" t="str">
        <x:v>Controller / Akuntansi</x:v>
      </x:c>
      <x:c r="C316" s="8" t="str">
        <x:v>Hasil laporan/ekuitas</x:v>
      </x:c>
      <x:c r="D316" s="8" t="str">
        <x:v>Baca saja</x:v>
      </x:c>
      <x:c r="E316" s="8" t="str">
        <x:v>Ya saat final</x:v>
      </x:c>
      <x:c r="F316" s="8" t="str">
        <x:v>GL dan rekonsiliasi</x:v>
      </x:c>
      <x:c r="G316" s="8" t="str">
        <x:v>Laba dapat ditelusuri; bukan fixture angka tetap</x:v>
      </x:c>
      <x:c r="H316" s="8" t="str">
        <x:v>Draf atau dikembalikan; sesudah diajukan baca saja. Revisi setelah posted melalui prosedur koreksi.</x:v>
      </x:c>
    </x:row>
    <x:row r="317" ht="100" customHeight="1">
      <x:c r="A317" s="8" t="str">
        <x:v>F30 Tutup / buka kembali periode</x:v>
      </x:c>
      <x:c r="B317" s="8" t="str">
        <x:v>Controller / Akuntansi</x:v>
      </x:c>
      <x:c r="C317" s="8" t="str">
        <x:v>Alasan penutupan/pembukaan</x:v>
      </x:c>
      <x:c r="D317" s="8" t="str">
        <x:v>Teks</x:v>
      </x:c>
      <x:c r="E317" s="8" t="str">
        <x:v>Ya</x:v>
      </x:c>
      <x:c r="F317" s="8" t="str">
        <x:v>Pemutus berwenang</x:v>
      </x:c>
      <x:c r="G317" s="8" t="str">
        <x:v>Pembukaan menyebut dampak dan pekerjaan ulang</x:v>
      </x:c>
      <x:c r="H317" s="8" t="str">
        <x:v>Draf atau dikembalikan; sesudah diajukan baca saja. Revisi setelah posted melalui prosedur koreksi.</x:v>
      </x:c>
    </x:row>
    <x:row r="318" ht="100" customHeight="1">
      <x:c r="A318" s="8" t="str">
        <x:v>F30 Tutup / buka kembali periode</x:v>
      </x:c>
      <x:c r="B318" s="8" t="str">
        <x:v>Controller / Akuntansi</x:v>
      </x:c>
      <x:c r="C318" s="8" t="str">
        <x:v>Keputusan</x:v>
      </x:c>
      <x:c r="D318" s="8" t="str">
        <x:v>Aksi berizin</x:v>
      </x:c>
      <x:c r="E318" s="8" t="str">
        <x:v>Ya</x:v>
      </x:c>
      <x:c r="F318" s="8" t="str">
        <x:v>Mandat</x:v>
      </x:c>
      <x:c r="G318" s="8" t="str">
        <x:v>Pisahkan persiapan, review dan tutup</x:v>
      </x:c>
      <x:c r="H318" s="8" t="str">
        <x:v>Draf atau dikembalikan; sesudah diajukan baca saja. Revisi setelah posted melalui prosedur koreksi.</x:v>
      </x:c>
    </x:row>
    <x:row r="319" ht="100" customHeight="1">
      <x:c r="A319" s="8" t="str">
        <x:v>F30 Tutup / buka kembali periode</x:v>
      </x:c>
      <x:c r="B319" s="8" t="str">
        <x:v>Controller / Akuntansi</x:v>
      </x:c>
      <x:c r="C319" s="8" t="str">
        <x:v>Riwayat periode</x:v>
      </x:c>
      <x:c r="D319" s="8" t="str">
        <x:v>Baca saja</x:v>
      </x:c>
      <x:c r="E319" s="8" t="str">
        <x:v>Otomatis</x:v>
      </x:c>
      <x:c r="F319" s="8" t="str">
        <x:v>Sistem</x:v>
      </x:c>
      <x:c r="G319" s="8" t="str">
        <x:v>Siapa/kapan/versi tetap tersimpan</x:v>
      </x:c>
      <x:c r="H319" s="8" t="str">
        <x:v>Draf atau dikembalikan; sesudah diajukan baca saja. Revisi setelah posted melalui prosedur koreksi.</x:v>
      </x:c>
    </x:row>
    <x:row r="320" ht="100" customHeight="1">
      <x:c r="A320" s="8" t="str">
        <x:v>F31 COA</x:v>
      </x:c>
      <x:c r="B320" s="8" t="str">
        <x:v>Admin Finance / reviewer</x:v>
      </x:c>
      <x:c r="C320" s="8" t="str">
        <x:v>Kode akun</x:v>
      </x:c>
      <x:c r="D320" s="8" t="str">
        <x:v>Teks identitas</x:v>
      </x:c>
      <x:c r="E320" s="8" t="str">
        <x:v>Ya</x:v>
      </x:c>
      <x:c r="F320" s="8" t="str">
        <x:v>COA disahkan</x:v>
      </x:c>
      <x:c r="G320" s="8" t="str">
        <x:v>Simpan utuh; unik; bukan scientific notation</x:v>
      </x:c>
      <x:c r="H320" s="8" t="str">
        <x:v>Draf atau dikembalikan; sesudah diajukan baca saja. Revisi setelah posted melalui prosedur koreksi.</x:v>
      </x:c>
    </x:row>
    <x:row r="321" ht="100" customHeight="1">
      <x:c r="A321" s="8" t="str">
        <x:v>F31 COA</x:v>
      </x:c>
      <x:c r="B321" s="8" t="str">
        <x:v>Admin Finance / reviewer</x:v>
      </x:c>
      <x:c r="C321" s="8" t="str">
        <x:v>Nama akun</x:v>
      </x:c>
      <x:c r="D321" s="8" t="str">
        <x:v>Teks</x:v>
      </x:c>
      <x:c r="E321" s="8" t="str">
        <x:v>Ya</x:v>
      </x:c>
      <x:c r="F321" s="8" t="str">
        <x:v>Kebijakan COA</x:v>
      </x:c>
      <x:c r="G321" s="8" t="str">
        <x:v>Perubahan punya versi/riwayat</x:v>
      </x:c>
      <x:c r="H321" s="8" t="str">
        <x:v>Draf atau dikembalikan; sesudah diajukan baca saja. Revisi setelah posted melalui prosedur koreksi.</x:v>
      </x:c>
    </x:row>
    <x:row r="322" ht="100" customHeight="1">
      <x:c r="A322" s="8" t="str">
        <x:v>F31 COA</x:v>
      </x:c>
      <x:c r="B322" s="8" t="str">
        <x:v>Admin Finance / reviewer</x:v>
      </x:c>
      <x:c r="C322" s="8" t="str">
        <x:v>Induk/level</x:v>
      </x:c>
      <x:c r="D322" s="8" t="str">
        <x:v>Referensi</x:v>
      </x:c>
      <x:c r="E322" s="8" t="str">
        <x:v>Ya sesuai hierarki</x:v>
      </x:c>
      <x:c r="F322" s="8" t="str">
        <x:v>Master COA</x:v>
      </x:c>
      <x:c r="G322" s="8" t="str">
        <x:v>Hierarki sah; tidak membuat akun turunan fiktif</x:v>
      </x:c>
      <x:c r="H322" s="8" t="str">
        <x:v>Draf atau dikembalikan; sesudah diajukan baca saja. Revisi setelah posted melalui prosedur koreksi.</x:v>
      </x:c>
    </x:row>
    <x:row r="323" ht="100" customHeight="1">
      <x:c r="A323" s="8" t="str">
        <x:v>F31 COA</x:v>
      </x:c>
      <x:c r="B323" s="8" t="str">
        <x:v>Admin Finance / reviewer</x:v>
      </x:c>
      <x:c r="C323" s="8" t="str">
        <x:v>Unit</x:v>
      </x:c>
      <x:c r="D323" s="8" t="str">
        <x:v>Referensi</x:v>
      </x:c>
      <x:c r="E323" s="8" t="str">
        <x:v>Sesuai akun</x:v>
      </x:c>
      <x:c r="F323" s="8" t="str">
        <x:v>Master unit</x:v>
      </x:c>
      <x:c r="G323" s="8" t="str">
        <x:v>Dimensi sesuai struktur</x:v>
      </x:c>
      <x:c r="H323" s="8" t="str">
        <x:v>Draf atau dikembalikan; sesudah diajukan baca saja. Revisi setelah posted melalui prosedur koreksi.</x:v>
      </x:c>
    </x:row>
    <x:row r="324" ht="100" customHeight="1">
      <x:c r="A324" s="8" t="str">
        <x:v>F31 COA</x:v>
      </x:c>
      <x:c r="B324" s="8" t="str">
        <x:v>Admin Finance / reviewer</x:v>
      </x:c>
      <x:c r="C324" s="8" t="str">
        <x:v>Aktif</x:v>
      </x:c>
      <x:c r="D324" s="8" t="str">
        <x:v>Pilihan</x:v>
      </x:c>
      <x:c r="E324" s="8" t="str">
        <x:v>Ya</x:v>
      </x:c>
      <x:c r="F324" s="8" t="str">
        <x:v>Keputusan master</x:v>
      </x:c>
      <x:c r="G324" s="8" t="str">
        <x:v>Aktif berbeda dari izin posting</x:v>
      </x:c>
      <x:c r="H324" s="8" t="str">
        <x:v>Draf atau dikembalikan; sesudah diajukan baca saja. Revisi setelah posted melalui prosedur koreksi.</x:v>
      </x:c>
    </x:row>
    <x:row r="325" ht="100" customHeight="1">
      <x:c r="A325" s="8" t="str">
        <x:v>F31 COA</x:v>
      </x:c>
      <x:c r="B325" s="8" t="str">
        <x:v>Admin Finance / reviewer</x:v>
      </x:c>
      <x:c r="C325" s="8" t="str">
        <x:v>Izin posting</x:v>
      </x:c>
      <x:c r="D325" s="8" t="str">
        <x:v>Pilihan</x:v>
      </x:c>
      <x:c r="E325" s="8" t="str">
        <x:v>Ya setelah kebijakan jelas</x:v>
      </x:c>
      <x:c r="F325" s="8" t="str">
        <x:v>Aturan postable</x:v>
      </x:c>
      <x:c r="G325" s="8" t="str">
        <x:v>Induk/akun khusus tidak dianggap boleh otomatis</x:v>
      </x:c>
      <x:c r="H325" s="8" t="str">
        <x:v>Draf atau dikembalikan; sesudah diajukan baca saja. Revisi setelah posted melalui prosedur koreksi.</x:v>
      </x:c>
    </x:row>
    <x:row r="326" ht="100" customHeight="1">
      <x:c r="A326" s="8" t="str">
        <x:v>F31 COA</x:v>
      </x:c>
      <x:c r="B326" s="8" t="str">
        <x:v>Admin Finance / reviewer</x:v>
      </x:c>
      <x:c r="C326" s="8" t="str">
        <x:v>Kelompok laporan</x:v>
      </x:c>
      <x:c r="D326" s="8" t="str">
        <x:v>Referensi</x:v>
      </x:c>
      <x:c r="E326" s="8" t="str">
        <x:v>Ya</x:v>
      </x:c>
      <x:c r="F326" s="8" t="str">
        <x:v>Pemetaan laporan</x:v>
      </x:c>
      <x:c r="G326" s="8" t="str">
        <x:v>Kode khusus memerlukan keputusan, bukan digit pertama saja</x:v>
      </x:c>
      <x:c r="H326" s="8" t="str">
        <x:v>Draf atau dikembalikan; sesudah diajukan baca saja. Revisi setelah posted melalui prosedur koreksi.</x:v>
      </x:c>
    </x:row>
    <x:row r="327" ht="100" customHeight="1">
      <x:c r="A327" s="8" t="str">
        <x:v>F31 COA</x:v>
      </x:c>
      <x:c r="B327" s="8" t="str">
        <x:v>Admin Finance / reviewer</x:v>
      </x:c>
      <x:c r="C327" s="8" t="str">
        <x:v>Mulai berlaku/alasan</x:v>
      </x:c>
      <x:c r="D327" s="8" t="str">
        <x:v>Tanggal + teks</x:v>
      </x:c>
      <x:c r="E327" s="8" t="str">
        <x:v>Ya untuk perubahan</x:v>
      </x:c>
      <x:c r="F327" s="8" t="str">
        <x:v>Keputusan</x:v>
      </x:c>
      <x:c r="G327" s="8" t="str">
        <x:v>Histori transaksi tidak rusak</x:v>
      </x:c>
      <x:c r="H327" s="8" t="str">
        <x:v>Draf atau dikembalikan; sesudah diajukan baca saja. Revisi setelah posted melalui prosedur koreksi.</x:v>
      </x:c>
    </x:row>
    <x:row r="328" ht="100" customHeight="1">
      <x:c r="A328" s="8" t="str">
        <x:v>F32 Pemetaan transaksi</x:v>
      </x:c>
      <x:c r="B328" s="8" t="str">
        <x:v>Admin Finance / reviewer</x:v>
      </x:c>
      <x:c r="C328" s="8" t="str">
        <x:v>Kejadian dan peran akun</x:v>
      </x:c>
      <x:c r="D328" s="8" t="str">
        <x:v>Referensi</x:v>
      </x:c>
      <x:c r="E328" s="8" t="str">
        <x:v>Ya</x:v>
      </x:c>
      <x:c r="F328" s="8" t="str">
        <x:v>Katalog rule</x:v>
      </x:c>
      <x:c r="G328" s="8" t="str">
        <x:v>Kejadian berbeda tidak disatukan karena kebetulan akun sama</x:v>
      </x:c>
      <x:c r="H328" s="8" t="str">
        <x:v>Draf atau dikembalikan; sesudah diajukan baca saja. Revisi setelah posted melalui prosedur koreksi.</x:v>
      </x:c>
    </x:row>
    <x:row r="329" ht="100" customHeight="1">
      <x:c r="A329" s="8" t="str">
        <x:v>F32 Pemetaan transaksi</x:v>
      </x:c>
      <x:c r="B329" s="8" t="str">
        <x:v>Admin Finance / reviewer</x:v>
      </x:c>
      <x:c r="C329" s="8" t="str">
        <x:v>Unit</x:v>
      </x:c>
      <x:c r="D329" s="8" t="str">
        <x:v>Dropdown</x:v>
      </x:c>
      <x:c r="E329" s="8" t="str">
        <x:v>Ya</x:v>
      </x:c>
      <x:c r="F329" s="8" t="str">
        <x:v>Unit berizin</x:v>
      </x:c>
      <x:c r="G329" s="8" t="str">
        <x:v>Cakupan pemetaan eksplisit</x:v>
      </x:c>
      <x:c r="H329" s="8" t="str">
        <x:v>Draf atau dikembalikan; sesudah diajukan baca saja. Revisi setelah posted melalui prosedur koreksi.</x:v>
      </x:c>
    </x:row>
    <x:row r="330" ht="100" customHeight="1">
      <x:c r="A330" s="8" t="str">
        <x:v>F32 Pemetaan transaksi</x:v>
      </x:c>
      <x:c r="B330" s="8" t="str">
        <x:v>Admin Finance / reviewer</x:v>
      </x:c>
      <x:c r="C330" s="8" t="str">
        <x:v>Bank/kelas/jenis hubungan</x:v>
      </x:c>
      <x:c r="D330" s="8" t="str">
        <x:v>Dimensi dinamis</x:v>
      </x:c>
      <x:c r="E330" s="8" t="str">
        <x:v>Jika rule membutuhkan</x:v>
      </x:c>
      <x:c r="F330" s="8" t="str">
        <x:v>Master dimensi</x:v>
      </x:c>
      <x:c r="G330" s="8" t="str">
        <x:v>Giro memakai bank; antarunit memakai keluarga; aset memakai kelas</x:v>
      </x:c>
      <x:c r="H330" s="8" t="str">
        <x:v>Draf atau dikembalikan; sesudah diajukan baca saja. Revisi setelah posted melalui prosedur koreksi.</x:v>
      </x:c>
    </x:row>
    <x:row r="331" ht="100" customHeight="1">
      <x:c r="A331" s="8" t="str">
        <x:v>F32 Pemetaan transaksi</x:v>
      </x:c>
      <x:c r="B331" s="8" t="str">
        <x:v>Admin Finance / reviewer</x:v>
      </x:c>
      <x:c r="C331" s="8" t="str">
        <x:v>Akun tujuan</x:v>
      </x:c>
      <x:c r="D331" s="8" t="str">
        <x:v>Dropdown</x:v>
      </x:c>
      <x:c r="E331" s="8" t="str">
        <x:v>Ya</x:v>
      </x:c>
      <x:c r="F331" s="8" t="str">
        <x:v>COA sah</x:v>
      </x:c>
      <x:c r="G331" s="8" t="str">
        <x:v>Aktif, postable, unit dan kebijakan cocok</x:v>
      </x:c>
      <x:c r="H331" s="8" t="str">
        <x:v>Draf atau dikembalikan; sesudah diajukan baca saja. Revisi setelah posted melalui prosedur koreksi.</x:v>
      </x:c>
    </x:row>
    <x:row r="332" ht="100" customHeight="1">
      <x:c r="A332" s="8" t="str">
        <x:v>F32 Pemetaan transaksi</x:v>
      </x:c>
      <x:c r="B332" s="8" t="str">
        <x:v>Admin Finance / reviewer</x:v>
      </x:c>
      <x:c r="C332" s="8" t="str">
        <x:v>Prioritas/masa berlaku</x:v>
      </x:c>
      <x:c r="D332" s="8" t="str">
        <x:v>Angka/tanggal</x:v>
      </x:c>
      <x:c r="E332" s="8" t="str">
        <x:v>Jika beberapa pemetaan</x:v>
      </x:c>
      <x:c r="F332" s="8" t="str">
        <x:v>Kebijakan resolusi</x:v>
      </x:c>
      <x:c r="G332" s="8" t="str">
        <x:v>Tidak ada kecocokan ambigu</x:v>
      </x:c>
      <x:c r="H332" s="8" t="str">
        <x:v>Draf atau dikembalikan; sesudah diajukan baca saja. Revisi setelah posted melalui prosedur koreksi.</x:v>
      </x:c>
    </x:row>
    <x:row r="333" ht="100" customHeight="1">
      <x:c r="A333" s="8" t="str">
        <x:v>F32 Pemetaan transaksi</x:v>
      </x:c>
      <x:c r="B333" s="8" t="str">
        <x:v>Admin Finance / reviewer</x:v>
      </x:c>
      <x:c r="C333" s="8" t="str">
        <x:v>Sampel simulasi</x:v>
      </x:c>
      <x:c r="D333" s="8" t="str">
        <x:v>Input uji + baca hasil</x:v>
      </x:c>
      <x:c r="E333" s="8" t="str">
        <x:v>Sebelum aktivasi</x:v>
      </x:c>
      <x:c r="F333" s="8" t="str">
        <x:v>Konteks rule</x:v>
      </x:c>
      <x:c r="G333" s="8" t="str">
        <x:v>Tampilkan akun dan debit/kredit hasil, termasuk kasus salah</x:v>
      </x:c>
      <x:c r="H333" s="8" t="str">
        <x:v>Draf atau dikembalikan; sesudah diajukan baca saja. Revisi setelah posted melalui prosedur koreksi.</x:v>
      </x:c>
    </x:row>
    <x:row r="334" ht="100" customHeight="1">
      <x:c r="A334" s="8" t="str">
        <x:v>F32 Pemetaan transaksi</x:v>
      </x:c>
      <x:c r="B334" s="8" t="str">
        <x:v>Admin Finance / reviewer</x:v>
      </x:c>
      <x:c r="C334" s="8" t="str">
        <x:v>Aktivasi/alasan</x:v>
      </x:c>
      <x:c r="D334" s="8" t="str">
        <x:v>Pilihan + teks</x:v>
      </x:c>
      <x:c r="E334" s="8" t="str">
        <x:v>Ya</x:v>
      </x:c>
      <x:c r="F334" s="8" t="str">
        <x:v>Keputusan reviewer</x:v>
      </x:c>
      <x:c r="G334" s="8" t="str">
        <x:v>Rule sengaja nonaktif tidak diaktifkan hanya karena akun ada</x:v>
      </x:c>
      <x:c r="H334" s="8" t="str">
        <x:v>Draf atau dikembalikan; sesudah diajukan baca saja. Revisi setelah posted melalui prosedur koreksi.</x:v>
      </x:c>
    </x:row>
    <x:row r="335" ht="100" customHeight="1">
      <x:c r="A335" s="8" t="str">
        <x:v>F33 Master rekening / pihak</x:v>
      </x:c>
      <x:c r="B335" s="8" t="str">
        <x:v>Admin Finance / reviewer</x:v>
      </x:c>
      <x:c r="C335" s="8" t="str">
        <x:v>Jenis master</x:v>
      </x:c>
      <x:c r="D335" s="8" t="str">
        <x:v>Dropdown</x:v>
      </x:c>
      <x:c r="E335" s="8" t="str">
        <x:v>Ya</x:v>
      </x:c>
      <x:c r="F335" s="8" t="str">
        <x:v>Rekening; kas; vendor; pelanggan; pemilik; pihak lain</x:v>
      </x:c>
      <x:c r="G335" s="8" t="str">
        <x:v>Form berubah mengikuti jenis</x:v>
      </x:c>
      <x:c r="H335" s="8" t="str">
        <x:v>Draf atau dikembalikan; sesudah diajukan baca saja. Revisi setelah posted melalui prosedur koreksi.</x:v>
      </x:c>
    </x:row>
    <x:row r="336" ht="100" customHeight="1">
      <x:c r="A336" s="8" t="str">
        <x:v>F33 Master rekening / pihak</x:v>
      </x:c>
      <x:c r="B336" s="8" t="str">
        <x:v>Admin Finance / reviewer</x:v>
      </x:c>
      <x:c r="C336" s="8" t="str">
        <x:v>Kode dan nama</x:v>
      </x:c>
      <x:c r="D336" s="8" t="str">
        <x:v>Teks terpisah</x:v>
      </x:c>
      <x:c r="E336" s="8" t="str">
        <x:v>Ya</x:v>
      </x:c>
      <x:c r="F336" s="8" t="str">
        <x:v>Pemilik master</x:v>
      </x:c>
      <x:c r="G336" s="8" t="str">
        <x:v>Satu ID dipakai lintas menu</x:v>
      </x:c>
      <x:c r="H336" s="8" t="str">
        <x:v>Draf atau dikembalikan; sesudah diajukan baca saja. Revisi setelah posted melalui prosedur koreksi.</x:v>
      </x:c>
    </x:row>
    <x:row r="337" ht="100" customHeight="1">
      <x:c r="A337" s="8" t="str">
        <x:v>F33 Master rekening / pihak</x:v>
      </x:c>
      <x:c r="B337" s="8" t="str">
        <x:v>Admin Finance / reviewer</x:v>
      </x:c>
      <x:c r="C337" s="8" t="str">
        <x:v>Unit/cakupan</x:v>
      </x:c>
      <x:c r="D337" s="8" t="str">
        <x:v>Referensi</x:v>
      </x:c>
      <x:c r="E337" s="8" t="str">
        <x:v>Ya sesuai jenis</x:v>
      </x:c>
      <x:c r="F337" s="8" t="str">
        <x:v>Master unit</x:v>
      </x:c>
      <x:c r="G337" s="8" t="str">
        <x:v>Tidak memberi hak lintas unit dari lokasi saja</x:v>
      </x:c>
      <x:c r="H337" s="8" t="str">
        <x:v>Draf atau dikembalikan; sesudah diajukan baca saja. Revisi setelah posted melalui prosedur koreksi.</x:v>
      </x:c>
    </x:row>
    <x:row r="338" ht="100" customHeight="1">
      <x:c r="A338" s="8" t="str">
        <x:v>F33 Master rekening / pihak</x:v>
      </x:c>
      <x:c r="B338" s="8" t="str">
        <x:v>Admin Finance / reviewer</x:v>
      </x:c>
      <x:c r="C338" s="8" t="str">
        <x:v>Bank/nomor rekening</x:v>
      </x:c>
      <x:c r="D338" s="8" t="str">
        <x:v>Referensi/teks sensitif</x:v>
      </x:c>
      <x:c r="E338" s="8" t="str">
        <x:v>Untuk rekening</x:v>
      </x:c>
      <x:c r="F338" s="8" t="str">
        <x:v>Bukti rekening</x:v>
      </x:c>
      <x:c r="G338" s="8" t="str">
        <x:v>Nomor dimasking di daftar; akses penuh hanya yang perlu</x:v>
      </x:c>
      <x:c r="H338" s="8" t="str">
        <x:v>Draf atau dikembalikan; sesudah diajukan baca saja. Revisi setelah posted melalui prosedur koreksi.</x:v>
      </x:c>
    </x:row>
    <x:row r="339" ht="100" customHeight="1">
      <x:c r="A339" s="8" t="str">
        <x:v>F33 Master rekening / pihak</x:v>
      </x:c>
      <x:c r="B339" s="8" t="str">
        <x:v>Admin Finance / reviewer</x:v>
      </x:c>
      <x:c r="C339" s="8" t="str">
        <x:v>Mata uang</x:v>
      </x:c>
      <x:c r="D339" s="8" t="str">
        <x:v>Dropdown</x:v>
      </x:c>
      <x:c r="E339" s="8" t="str">
        <x:v>Untuk rekening/transaksi terkait</x:v>
      </x:c>
      <x:c r="F339" s="8" t="str">
        <x:v>Master yang didukung</x:v>
      </x:c>
      <x:c r="G339" s="8" t="str">
        <x:v>Tidak mengasumsikan konversi tersedia</x:v>
      </x:c>
      <x:c r="H339" s="8" t="str">
        <x:v>Draf atau dikembalikan; sesudah diajukan baca saja. Revisi setelah posted melalui prosedur koreksi.</x:v>
      </x:c>
    </x:row>
    <x:row r="340" ht="100" customHeight="1">
      <x:c r="A340" s="8" t="str">
        <x:v>F33 Master rekening / pihak</x:v>
      </x:c>
      <x:c r="B340" s="8" t="str">
        <x:v>Admin Finance / reviewer</x:v>
      </x:c>
      <x:c r="C340" s="8" t="str">
        <x:v>Identitas/kontak pihak</x:v>
      </x:c>
      <x:c r="D340" s="8" t="str">
        <x:v>Field sesuai jenis</x:v>
      </x:c>
      <x:c r="E340" s="8" t="str">
        <x:v>Sesuai jenis</x:v>
      </x:c>
      <x:c r="F340" s="8" t="str">
        <x:v>Bukti pihak</x:v>
      </x:c>
      <x:c r="G340" s="8" t="str">
        <x:v>Data sensitif sesuai hak</x:v>
      </x:c>
      <x:c r="H340" s="8" t="str">
        <x:v>Draf atau dikembalikan; sesudah diajukan baca saja. Revisi setelah posted melalui prosedur koreksi.</x:v>
      </x:c>
    </x:row>
    <x:row r="341" ht="100" customHeight="1">
      <x:c r="A341" s="8" t="str">
        <x:v>F33 Master rekening / pihak</x:v>
      </x:c>
      <x:c r="B341" s="8" t="str">
        <x:v>Admin Finance / reviewer</x:v>
      </x:c>
      <x:c r="C341" s="8" t="str">
        <x:v>Status aktif dan masa berlaku</x:v>
      </x:c>
      <x:c r="D341" s="8" t="str">
        <x:v>Pilihan/tanggal</x:v>
      </x:c>
      <x:c r="E341" s="8" t="str">
        <x:v>Ya</x:v>
      </x:c>
      <x:c r="F341" s="8" t="str">
        <x:v>Keputusan</x:v>
      </x:c>
      <x:c r="G341" s="8" t="str">
        <x:v>Nonaktif tidak menghapus histori</x:v>
      </x:c>
      <x:c r="H341" s="8" t="str">
        <x:v>Draf atau dikembalikan; sesudah diajukan baca saja. Revisi setelah posted melalui prosedur koreksi.</x:v>
      </x:c>
    </x:row>
    <x:row r="342" ht="100" customHeight="1">
      <x:c r="A342" s="8" t="str">
        <x:v>F33 Master rekening / pihak</x:v>
      </x:c>
      <x:c r="B342" s="8" t="str">
        <x:v>Admin Finance / reviewer</x:v>
      </x:c>
      <x:c r="C342" s="8" t="str">
        <x:v>Pemetaan terkait</x:v>
      </x:c>
      <x:c r="D342" s="8" t="str">
        <x:v>Referensi</x:v>
      </x:c>
      <x:c r="E342" s="8" t="str">
        <x:v>Jika diperlukan</x:v>
      </x:c>
      <x:c r="F342" s="8" t="str">
        <x:v>F32</x:v>
      </x:c>
      <x:c r="G342" s="8" t="str">
        <x:v>Terdaftar belum berarti siap digunakan</x:v>
      </x:c>
      <x:c r="H342" s="8" t="str">
        <x:v>Draf atau dikembalikan; sesudah diajukan baca saja. Revisi setelah posted melalui prosedur koreksi.</x:v>
      </x:c>
    </x:row>
    <x:row r="343" ht="100" customHeight="1">
      <x:c r="A343" s="8" t="str">
        <x:v>F34 Kebijakan / akses Finance</x:v>
      </x:c>
      <x:c r="B343" s="8" t="str">
        <x:v>Pemilik kebijakan / reviewer</x:v>
      </x:c>
      <x:c r="C343" s="8" t="str">
        <x:v>Jenis konfigurasi</x:v>
      </x:c>
      <x:c r="D343" s="8" t="str">
        <x:v>Dropdown</x:v>
      </x:c>
      <x:c r="E343" s="8" t="str">
        <x:v>Ya</x:v>
      </x:c>
      <x:c r="F343" s="8" t="str">
        <x:v>Kebijakan; jadwal; peran; persetujuan</x:v>
      </x:c>
      <x:c r="G343" s="8" t="str">
        <x:v>Editor sesuai kategori</x:v>
      </x:c>
      <x:c r="H343" s="8" t="str">
        <x:v>Draf atau dikembalikan; sesudah diajukan baca saja. Revisi setelah posted melalui prosedur koreksi.</x:v>
      </x:c>
    </x:row>
    <x:row r="344" ht="100" customHeight="1">
      <x:c r="A344" s="8" t="str">
        <x:v>F34 Kebijakan / akses Finance</x:v>
      </x:c>
      <x:c r="B344" s="8" t="str">
        <x:v>Pemilik kebijakan / reviewer</x:v>
      </x:c>
      <x:c r="C344" s="8" t="str">
        <x:v>Lingkup</x:v>
      </x:c>
      <x:c r="D344" s="8" t="str">
        <x:v>Referensi</x:v>
      </x:c>
      <x:c r="E344" s="8" t="str">
        <x:v>Ya</x:v>
      </x:c>
      <x:c r="F344" s="8" t="str">
        <x:v>Unit/kelas/jenis transaksi</x:v>
      </x:c>
      <x:c r="G344" s="8" t="str">
        <x:v>Cakupan eksplisit</x:v>
      </x:c>
      <x:c r="H344" s="8" t="str">
        <x:v>Draf atau dikembalikan; sesudah diajukan baca saja. Revisi setelah posted melalui prosedur koreksi.</x:v>
      </x:c>
    </x:row>
    <x:row r="345" ht="100" customHeight="1">
      <x:c r="A345" s="8" t="str">
        <x:v>F34 Kebijakan / akses Finance</x:v>
      </x:c>
      <x:c r="B345" s="8" t="str">
        <x:v>Pemilik kebijakan / reviewer</x:v>
      </x:c>
      <x:c r="C345" s="8" t="str">
        <x:v>Parameter/peran/tindakan</x:v>
      </x:c>
      <x:c r="D345" s="8" t="str">
        <x:v>Tabel input terkontrol</x:v>
      </x:c>
      <x:c r="E345" s="8" t="str">
        <x:v>Ya</x:v>
      </x:c>
      <x:c r="F345" s="8" t="str">
        <x:v>Master/mandat disahkan</x:v>
      </x:c>
      <x:c r="G345" s="8" t="str">
        <x:v>Tipe sesuai parameter; akses tidak berupa teks bebas</x:v>
      </x:c>
      <x:c r="H345" s="8" t="str">
        <x:v>Draf atau dikembalikan; sesudah diajukan baca saja. Revisi setelah posted melalui prosedur koreksi.</x:v>
      </x:c>
    </x:row>
    <x:row r="346" ht="100" customHeight="1">
      <x:c r="A346" s="8" t="str">
        <x:v>F34 Kebijakan / akses Finance</x:v>
      </x:c>
      <x:c r="B346" s="8" t="str">
        <x:v>Pemilik kebijakan / reviewer</x:v>
      </x:c>
      <x:c r="C346" s="8" t="str">
        <x:v>Batas mandat</x:v>
      </x:c>
      <x:c r="D346" s="8" t="str">
        <x:v>Nilai/kondisi</x:v>
      </x:c>
      <x:c r="E346" s="8" t="str">
        <x:v>Sesuai kebijakan</x:v>
      </x:c>
      <x:c r="F346" s="8" t="str">
        <x:v>Keputusan organisasi</x:v>
      </x:c>
      <x:c r="G346" s="8" t="str">
        <x:v>Tidak mengarang batas nominal standar</x:v>
      </x:c>
      <x:c r="H346" s="8" t="str">
        <x:v>Draf atau dikembalikan; sesudah diajukan baca saja. Revisi setelah posted melalui prosedur koreksi.</x:v>
      </x:c>
    </x:row>
    <x:row r="347" ht="100" customHeight="1">
      <x:c r="A347" s="8" t="str">
        <x:v>F34 Kebijakan / akses Finance</x:v>
      </x:c>
      <x:c r="B347" s="8" t="str">
        <x:v>Pemilik kebijakan / reviewer</x:v>
      </x:c>
      <x:c r="C347" s="8" t="str">
        <x:v>Mulai/akhir berlaku</x:v>
      </x:c>
      <x:c r="D347" s="8" t="str">
        <x:v>Tanggal terpisah</x:v>
      </x:c>
      <x:c r="E347" s="8" t="str">
        <x:v>Mulai wajib</x:v>
      </x:c>
      <x:c r="F347" s="8" t="str">
        <x:v>Keputusan</x:v>
      </x:c>
      <x:c r="G347" s="8" t="str">
        <x:v>Versi tidak tumpang tindih ambigu</x:v>
      </x:c>
      <x:c r="H347" s="8" t="str">
        <x:v>Draf atau dikembalikan; sesudah diajukan baca saja. Revisi setelah posted melalui prosedur koreksi.</x:v>
      </x:c>
    </x:row>
    <x:row r="348" ht="100" customHeight="1">
      <x:c r="A348" s="8" t="str">
        <x:v>F34 Kebijakan / akses Finance</x:v>
      </x:c>
      <x:c r="B348" s="8" t="str">
        <x:v>Pemilik kebijakan / reviewer</x:v>
      </x:c>
      <x:c r="C348" s="8" t="str">
        <x:v>Dasar/alasan</x:v>
      </x:c>
      <x:c r="D348" s="8" t="str">
        <x:v>Dokumen + teks</x:v>
      </x:c>
      <x:c r="E348" s="8" t="str">
        <x:v>Ya</x:v>
      </x:c>
      <x:c r="F348" s="8" t="str">
        <x:v>Pemilik kebijakan</x:v>
      </x:c>
      <x:c r="G348" s="8" t="str">
        <x:v>Efek pada objek aktif harus ditinjau</x:v>
      </x:c>
      <x:c r="H348" s="8" t="str">
        <x:v>Draf atau dikembalikan; sesudah diajukan baca saja. Revisi setelah posted melalui prosedur koreksi.</x:v>
      </x:c>
    </x:row>
    <x:row r="349" ht="100" customHeight="1">
      <x:c r="A349" s="8" t="str">
        <x:v>F34 Kebijakan / akses Finance</x:v>
      </x:c>
      <x:c r="B349" s="8" t="str">
        <x:v>Pemilik kebijakan / reviewer</x:v>
      </x:c>
      <x:c r="C349" s="8" t="str">
        <x:v>Reviewer dan hasil</x:v>
      </x:c>
      <x:c r="D349" s="8" t="str">
        <x:v>Baca saja</x:v>
      </x:c>
      <x:c r="E349" s="8" t="str">
        <x:v>Otomatis</x:v>
      </x:c>
      <x:c r="F349" s="8" t="str">
        <x:v>Keputusan</x:v>
      </x:c>
      <x:c r="G349" s="8" t="str">
        <x:v>Tidak self-grant hak tanpa mandat</x:v>
      </x:c>
      <x:c r="H349" s="8" t="str">
        <x:v>Draf atau dikembalikan; sesudah diajukan baca saja. Revisi setelah posted melalui prosedur koreksi.</x:v>
      </x:c>
    </x:row>
    <x:row r="350" ht="100" customHeight="1">
      <x:c r="A350" s="8" t="str">
        <x:v>F35 Impor / ekspor dan laporan</x:v>
      </x:c>
      <x:c r="B350" s="8" t="str">
        <x:v>Pembaca/pengimpor berizin</x:v>
      </x:c>
      <x:c r="C350" s="8" t="str">
        <x:v>Jenis pekerjaan</x:v>
      </x:c>
      <x:c r="D350" s="8" t="str">
        <x:v>Pilihan</x:v>
      </x:c>
      <x:c r="E350" s="8" t="str">
        <x:v>Ya</x:v>
      </x:c>
      <x:c r="F350" s="8" t="str">
        <x:v>Impor penjualan/statement; laporan/ekspor</x:v>
      </x:c>
      <x:c r="G350" s="8" t="str">
        <x:v>Tidak memperlakukan semua impor sebagai posting</x:v>
      </x:c>
      <x:c r="H350" s="8" t="str">
        <x:v>Draf atau dikembalikan; sesudah diajukan baca saja. Revisi setelah posted melalui prosedur koreksi.</x:v>
      </x:c>
    </x:row>
    <x:row r="351" ht="100" customHeight="1">
      <x:c r="A351" s="8" t="str">
        <x:v>F35 Impor / ekspor dan laporan</x:v>
      </x:c>
      <x:c r="B351" s="8" t="str">
        <x:v>Pembaca/pengimpor berizin</x:v>
      </x:c>
      <x:c r="C351" s="8" t="str">
        <x:v>Unit/periode/filter</x:v>
      </x:c>
      <x:c r="D351" s="8" t="str">
        <x:v>Referensi</x:v>
      </x:c>
      <x:c r="E351" s="8" t="str">
        <x:v>Ya</x:v>
      </x:c>
      <x:c r="F351" s="8" t="str">
        <x:v>Konteks layar</x:v>
      </x:c>
      <x:c r="G351" s="8" t="str">
        <x:v>Hak akses dan seluruh filter ikut hasil</x:v>
      </x:c>
      <x:c r="H351" s="8" t="str">
        <x:v>Draf atau dikembalikan; sesudah diajukan baca saja. Revisi setelah posted melalui prosedur koreksi.</x:v>
      </x:c>
    </x:row>
    <x:row r="352" ht="100" customHeight="1">
      <x:c r="A352" s="8" t="str">
        <x:v>F35 Impor / ekspor dan laporan</x:v>
      </x:c>
      <x:c r="B352" s="8" t="str">
        <x:v>Pembaca/pengimpor berizin</x:v>
      </x:c>
      <x:c r="C352" s="8" t="str">
        <x:v>File sumber</x:v>
      </x:c>
      <x:c r="D352" s="8" t="str">
        <x:v>Upload</x:v>
      </x:c>
      <x:c r="E352" s="8" t="str">
        <x:v>Jika impor</x:v>
      </x:c>
      <x:c r="F352" s="8" t="str">
        <x:v>Sumber bisnis</x:v>
      </x:c>
      <x:c r="G352" s="8" t="str">
        <x:v>Pratinjau, validasi kolom, deteksi duplikat dan hasil per baris</x:v>
      </x:c>
      <x:c r="H352" s="8" t="str">
        <x:v>Draf atau dikembalikan; sesudah diajukan baca saja. Revisi setelah posted melalui prosedur koreksi.</x:v>
      </x:c>
    </x:row>
    <x:row r="353" ht="100" customHeight="1">
      <x:c r="A353" s="8" t="str">
        <x:v>F35 Impor / ekspor dan laporan</x:v>
      </x:c>
      <x:c r="B353" s="8" t="str">
        <x:v>Pembaca/pengimpor berizin</x:v>
      </x:c>
      <x:c r="C353" s="8" t="str">
        <x:v>Pemetaan kolom</x:v>
      </x:c>
      <x:c r="D353" s="8" t="str">
        <x:v>Pilihan</x:v>
      </x:c>
      <x:c r="E353" s="8" t="str">
        <x:v>Jika diperlukan</x:v>
      </x:c>
      <x:c r="F353" s="8" t="str">
        <x:v>Header sumber</x:v>
      </x:c>
      <x:c r="G353" s="8" t="str">
        <x:v>Identitas/tanggal/nominal terinterpretasi benar</x:v>
      </x:c>
      <x:c r="H353" s="8" t="str">
        <x:v>Draf atau dikembalikan; sesudah diajukan baca saja. Revisi setelah posted melalui prosedur koreksi.</x:v>
      </x:c>
    </x:row>
    <x:row r="354" ht="100" customHeight="1">
      <x:c r="A354" s="8" t="str">
        <x:v>F35 Impor / ekspor dan laporan</x:v>
      </x:c>
      <x:c r="B354" s="8" t="str">
        <x:v>Pembaca/pengimpor berizin</x:v>
      </x:c>
      <x:c r="C354" s="8" t="str">
        <x:v>Cakupan laporan</x:v>
      </x:c>
      <x:c r="D354" s="8" t="str">
        <x:v>Pilihan unit dan versi</x:v>
      </x:c>
      <x:c r="E354" s="8" t="str">
        <x:v>Jika laporan</x:v>
      </x:c>
      <x:c r="F354" s="8" t="str">
        <x:v>Data yang diizinkan</x:v>
      </x:c>
      <x:c r="G354" s="8" t="str">
        <x:v>Konsolidasi mencakup semua unit terpilih dan status kesiapan</x:v>
      </x:c>
      <x:c r="H354" s="8" t="str">
        <x:v>Draf atau dikembalikan; sesudah diajukan baca saja. Revisi setelah posted melalui prosedur koreksi.</x:v>
      </x:c>
    </x:row>
    <x:row r="355" ht="100" customHeight="1">
      <x:c r="A355" s="8" t="str">
        <x:v>F35 Impor / ekspor dan laporan</x:v>
      </x:c>
      <x:c r="B355" s="8" t="str">
        <x:v>Pembaca/pengimpor berizin</x:v>
      </x:c>
      <x:c r="C355" s="8" t="str">
        <x:v>Format/kolom ekspor</x:v>
      </x:c>
      <x:c r="D355" s="8" t="str">
        <x:v>Pilihan</x:v>
      </x:c>
      <x:c r="E355" s="8" t="str">
        <x:v>Jika ekspor</x:v>
      </x:c>
      <x:c r="F355" s="8" t="str">
        <x:v>Kolom yang boleh dilihat</x:v>
      </x:c>
      <x:c r="G355" s="8" t="str">
        <x:v>Data sensitif tidak bocor lewat ekspor</x:v>
      </x:c>
      <x:c r="H355" s="8" t="str">
        <x:v>Draf atau dikembalikan; sesudah diajukan baca saja. Revisi setelah posted melalui prosedur koreksi.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52eb6ff2bd2047c8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2" t="str">
        <x:v>Form, tombol form dan perubahan status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3" t="str">
        <x:v>Tombol sidebar detail membuka mode form yang jelas. Simpan draf belum posting. Tabel anak S01–S25 dijelaskan pada sheet 20–21.</x:v>
      </x:c>
      <x:c r="B2" s="23"/>
      <x:c r="C2" s="23"/>
      <x:c r="D2" s="23"/>
      <x:c r="E2" s="23"/>
      <x:c r="F2" s="23"/>
      <x:c r="G2" s="23"/>
      <x:c r="H2" s="23"/>
    </x:row>
    <x:row r="3" ht="22" customHeight="1">
      <x:c r="A3" s="23"/>
      <x:c r="B3" s="23"/>
      <x:c r="C3" s="23"/>
      <x:c r="D3" s="23"/>
      <x:c r="E3" s="23"/>
      <x:c r="F3" s="23"/>
      <x:c r="G3" s="23"/>
      <x:c r="H3" s="23"/>
    </x:row>
    <x:row r="5" ht="38" customHeight="1">
      <x:c r="A5" s="25" t="str">
        <x:v>Form</x:v>
      </x:c>
      <x:c r="B5" s="25" t="str">
        <x:v>Dibuka dari</x:v>
      </x:c>
      <x:c r="C5" s="25" t="str">
        <x:v>Urutan isi</x:v>
      </x:c>
      <x:c r="D5" s="25" t="str">
        <x:v>Tabel anak</x:v>
      </x:c>
      <x:c r="E5" s="25" t="str">
        <x:v>Tombol dalam form</x:v>
      </x:c>
      <x:c r="F5" s="25" t="str">
        <x:v>Hasil</x:v>
      </x:c>
      <x:c r="G5" s="25" t="str">
        <x:v>Batas setelah submit</x:v>
      </x:c>
      <x:c r="H5" s="25" t="str">
        <x:v>Keluar / gagal</x:v>
      </x:c>
    </x:row>
    <x:row r="6" ht="145" customHeight="1">
      <x:c r="A6" s="8" t="str">
        <x:v>F01 Keputusan / pembatalan / pembalikan</x:v>
      </x:c>
      <x:c r="B6" s="8" t="str">
        <x:v>Ringkasan; Kas &amp; Bank; Tagihan &amp; Pengeluaran; Penjualan &amp; Piutang; Persediaan; Antarunit; Aset &amp; Proyek; Payroll; Pajak; Pendanaan &amp; Modal; Akuntansi &amp; Tutup Buku; Pengaturan Finance</x:v>
      </x:c>
      <x:c r="C6" s="8" t="str">
        <x:v>Identitas/konteks → field F01 sesuai urutan sheet 18 → tabel anak bila ada → bukti → ringkasan tindakan. Rincian tab pemanggil: sheet 16–17.</x:v>
      </x:c>
      <x:c r="D6" s="8" t="str">
        <x:v>S01; S02</x:v>
      </x:c>
      <x:c r="E6" s="8" t="str">
        <x:v>Konfirmasi tindakan; Batal</x:v>
      </x:c>
      <x:c r="F6" s="8" t="str">
        <x:v>Keputusan atau dokumen koreksi tertaut ke sumber; versi/riwayat tetap ada.</x:v>
      </x:c>
      <x:c r="G6" s="8" t="str">
        <x:v>Saat aksi memang tersedia menurut status dan izin</x:v>
      </x:c>
      <x:c r="H6" s="8" t="str">
        <x:v>Bila ada perubahan: simpan draf jika didukung / buang / lanjut edit. Gagal simpan mempertahankan input; konflik versi meminta review ulang, bukan overwrite.</x:v>
      </x:c>
    </x:row>
    <x:row r="7" ht="145" customHeight="1">
      <x:c r="A7" s="8" t="str">
        <x:v>F02 Pembayaran</x:v>
      </x:c>
      <x:c r="B7" s="8" t="str">
        <x:v>Kas &amp; Bank; Tagihan &amp; Pengeluaran; Penjualan &amp; Piutang; Antarunit; Payroll; Pajak; Pendanaan &amp; Modal</x:v>
      </x:c>
      <x:c r="C7" s="8" t="str">
        <x:v>Identitas/konteks → field F02 sesuai urutan sheet 18 → tabel anak bila ada → bukti → ringkasan tindakan. Rincian tab pemanggil: sheet 16–17.</x:v>
      </x:c>
      <x:c r="D7" s="8" t="str">
        <x:v>S03</x:v>
      </x:c>
      <x:c r="E7" s="8" t="str">
        <x:v>Simpan draf; Ajukan pembayaran; Batal</x:v>
      </x:c>
      <x:c r="F7" s="8" t="str">
        <x:v>Satu payment dengan alokasi. Eksekusi kemudian memperbarui register, kewajiban dan jurnal terkait.</x:v>
      </x:c>
      <x:c r="G7" s="8" t="str">
        <x:v>Draf atau dikembalikan; sesudah diajukan baca saja. Revisi setelah posted melalui prosedur koreksi.</x:v>
      </x:c>
      <x:c r="H7" s="8" t="str">
        <x:v>Bila ada perubahan: simpan draf jika didukung / buang / lanjut edit. Gagal simpan mempertahankan input; konflik versi meminta review ulang, bukan overwrite.</x:v>
      </x:c>
    </x:row>
    <x:row r="8" ht="145" customHeight="1">
      <x:c r="A8" s="8" t="str">
        <x:v>F03 Penerimaan dan alokasi</x:v>
      </x:c>
      <x:c r="B8" s="8" t="str">
        <x:v>Kas &amp; Bank; Tagihan &amp; Pengeluaran; Penjualan &amp; Piutang; Antarunit; Aset &amp; Proyek; Payroll; Pendanaan &amp; Modal</x:v>
      </x:c>
      <x:c r="C8" s="8" t="str">
        <x:v>Identitas/konteks → field F03 sesuai urutan sheet 18 → tabel anak bila ada → bukti → ringkasan tindakan. Rincian tab pemanggil: sheet 16–17.</x:v>
      </x:c>
      <x:c r="D8" s="8" t="str">
        <x:v>S03</x:v>
      </x:c>
      <x:c r="E8" s="8" t="str">
        <x:v>Simpan draf; Ajukan; Batal</x:v>
      </x:c>
      <x:c r="F8" s="8" t="str">
        <x:v>Membentuk atau merevisi dokumen sumber; simpan draf belum posting.</x:v>
      </x:c>
      <x:c r="G8" s="8" t="str">
        <x:v>Draf atau dikembalikan; sesudah diajukan baca saja. Revisi setelah posted melalui prosedur koreksi.</x:v>
      </x:c>
      <x:c r="H8" s="8" t="str">
        <x:v>Bila ada perubahan: simpan draf jika didukung / buang / lanjut edit. Gagal simpan mempertahankan input; konflik versi meminta review ulang, bukan overwrite.</x:v>
      </x:c>
    </x:row>
    <x:row r="9" ht="145" customHeight="1">
      <x:c r="A9" s="8" t="str">
        <x:v>F04 Transfer dan pengisian kas</x:v>
      </x:c>
      <x:c r="B9" s="8" t="str">
        <x:v>Kas &amp; Bank</x:v>
      </x:c>
      <x:c r="C9" s="8" t="str">
        <x:v>Identitas/konteks → field F04 sesuai urutan sheet 18 → tabel anak bila ada → bukti → ringkasan tindakan. Rincian tab pemanggil: sheet 16–17.</x:v>
      </x:c>
      <x:c r="D9" s="8" t="str">
        <x:v>S03</x:v>
      </x:c>
      <x:c r="E9" s="8" t="str">
        <x:v>Simpan draf; Ajukan; Batal</x:v>
      </x:c>
      <x:c r="F9" s="8" t="str">
        <x:v>Membentuk atau merevisi dokumen sumber; simpan draf belum posting.</x:v>
      </x:c>
      <x:c r="G9" s="8" t="str">
        <x:v>Draf atau dikembalikan; sesudah diajukan baca saja. Revisi setelah posted melalui prosedur koreksi.</x:v>
      </x:c>
      <x:c r="H9" s="8" t="str">
        <x:v>Bila ada perubahan: simpan draf jika didukung / buang / lanjut edit. Gagal simpan mempertahankan input; konflik versi meminta review ulang, bukan overwrite.</x:v>
      </x:c>
    </x:row>
    <x:row r="10" ht="145" customHeight="1">
      <x:c r="A10" s="8" t="str">
        <x:v>F05 Giro</x:v>
      </x:c>
      <x:c r="B10" s="8" t="str">
        <x:v>Kas &amp; Bank</x:v>
      </x:c>
      <x:c r="C10" s="8" t="str">
        <x:v>Identitas/konteks → field F05 sesuai urutan sheet 18 → tabel anak bila ada → bukti → ringkasan tindakan. Rincian tab pemanggil: sheet 16–17.</x:v>
      </x:c>
      <x:c r="D10" s="8" t="str">
        <x:v>S03; S04</x:v>
      </x:c>
      <x:c r="E10" s="8" t="str">
        <x:v>Simpan draf; Ajukan penerbitan; Batal</x:v>
      </x:c>
      <x:c r="F10" s="8" t="str">
        <x:v>Membentuk atau merevisi dokumen sumber; simpan draf belum posting.</x:v>
      </x:c>
      <x:c r="G10" s="8" t="str">
        <x:v>Draf atau dikembalikan; sesudah diajukan baca saja. Revisi setelah posted melalui prosedur koreksi.</x:v>
      </x:c>
      <x:c r="H10" s="8" t="str">
        <x:v>Bila ada perubahan: simpan draf jika didukung / buang / lanjut edit. Gagal simpan mempertahankan input; konflik versi meminta review ulang, bukan overwrite.</x:v>
      </x:c>
    </x:row>
    <x:row r="11" ht="145" customHeight="1">
      <x:c r="A11" s="8" t="str">
        <x:v>F06 Rekonsiliasi bank</x:v>
      </x:c>
      <x:c r="B11" s="8" t="str">
        <x:v>Kas &amp; Bank</x:v>
      </x:c>
      <x:c r="C11" s="8" t="str">
        <x:v>Identitas/konteks → field F06 sesuai urutan sheet 18 → tabel anak bila ada → bukti → ringkasan tindakan. Rincian tab pemanggil: sheet 16–17.</x:v>
      </x:c>
      <x:c r="D11" s="8" t="str">
        <x:v>S05</x:v>
      </x:c>
      <x:c r="E11" s="8" t="str">
        <x:v>Pratinjau impor / Cocokkan; Batal</x:v>
      </x:c>
      <x:c r="F11" s="8" t="str">
        <x:v>Pasangan bank–buku tersimpan; jika perlu transaksi baru, dibuat dengan ID baris bank sebagai sumber.</x:v>
      </x:c>
      <x:c r="G11" s="8" t="str">
        <x:v>Draf atau dikembalikan; sesudah diajukan baca saja. Revisi setelah posted melalui prosedur koreksi.</x:v>
      </x:c>
      <x:c r="H11" s="8" t="str">
        <x:v>Bila ada perubahan: simpan draf jika didukung / buang / lanjut edit. Gagal simpan mempertahankan input; konflik versi meminta review ulang, bukan overwrite.</x:v>
      </x:c>
    </x:row>
    <x:row r="12" ht="145" customHeight="1">
      <x:c r="A12" s="8" t="str">
        <x:v>F07 Tagihan vendor</x:v>
      </x:c>
      <x:c r="B12" s="8" t="str">
        <x:v>Tagihan &amp; Pengeluaran; Persediaan</x:v>
      </x:c>
      <x:c r="C12" s="8" t="str">
        <x:v>Identitas/konteks → field F07 sesuai urutan sheet 18 → tabel anak bila ada → bukti → ringkasan tindakan. Rincian tab pemanggil: sheet 16–17.</x:v>
      </x:c>
      <x:c r="D12" s="8" t="str">
        <x:v>S06; S07</x:v>
      </x:c>
      <x:c r="E12" s="8" t="str">
        <x:v>Simpan draf; Ajukan; Batal</x:v>
      </x:c>
      <x:c r="F12" s="8" t="str">
        <x:v>Membentuk atau merevisi dokumen sumber; simpan draf belum posting.</x:v>
      </x:c>
      <x:c r="G12" s="8" t="str">
        <x:v>Draf atau dikembalikan; sesudah diajukan baca saja. Revisi setelah posted melalui prosedur koreksi.</x:v>
      </x:c>
      <x:c r="H12" s="8" t="str">
        <x:v>Bila ada perubahan: simpan draf jika didukung / buang / lanjut edit. Gagal simpan mempertahankan input; konflik versi meminta review ulang, bukan overwrite.</x:v>
      </x:c>
    </x:row>
    <x:row r="13" ht="145" customHeight="1">
      <x:c r="A13" s="8" t="str">
        <x:v>F08 Klaim pengeluaran</x:v>
      </x:c>
      <x:c r="B13" s="8" t="str">
        <x:v>Tagihan &amp; Pengeluaran</x:v>
      </x:c>
      <x:c r="C13" s="8" t="str">
        <x:v>Identitas/konteks → field F08 sesuai urutan sheet 18 → tabel anak bila ada → bukti → ringkasan tindakan. Rincian tab pemanggil: sheet 16–17.</x:v>
      </x:c>
      <x:c r="D13" s="8" t="str">
        <x:v>S06; S01</x:v>
      </x:c>
      <x:c r="E13" s="8" t="str">
        <x:v>Simpan draf; Ajukan; Batal</x:v>
      </x:c>
      <x:c r="F13" s="8" t="str">
        <x:v>Membentuk atau merevisi dokumen sumber; simpan draf belum posting.</x:v>
      </x:c>
      <x:c r="G13" s="8" t="str">
        <x:v>Draf atau dikembalikan; sesudah diajukan baca saja. Revisi setelah posted melalui prosedur koreksi.</x:v>
      </x:c>
      <x:c r="H13" s="8" t="str">
        <x:v>Bila ada perubahan: simpan draf jika didukung / buang / lanjut edit. Gagal simpan mempertahankan input; konflik versi meminta review ulang, bukan overwrite.</x:v>
      </x:c>
    </x:row>
    <x:row r="14" ht="145" customHeight="1">
      <x:c r="A14" s="8" t="str">
        <x:v>F09 Uang muka operasional</x:v>
      </x:c>
      <x:c r="B14" s="8" t="str">
        <x:v>Tagihan &amp; Pengeluaran</x:v>
      </x:c>
      <x:c r="C14" s="8" t="str">
        <x:v>Identitas/konteks → field F09 sesuai urutan sheet 18 → tabel anak bila ada → bukti → ringkasan tindakan. Rincian tab pemanggil: sheet 16–17.</x:v>
      </x:c>
      <x:c r="D14" s="8" t="str">
        <x:v>S03; S08</x:v>
      </x:c>
      <x:c r="E14" s="8" t="str">
        <x:v>Simpan draf; Ajukan; Batal</x:v>
      </x:c>
      <x:c r="F14" s="8" t="str">
        <x:v>Membentuk atau merevisi dokumen sumber; simpan draf belum posting.</x:v>
      </x:c>
      <x:c r="G14" s="8" t="str">
        <x:v>Draf atau dikembalikan; sesudah diajukan baca saja. Revisi setelah posted melalui prosedur koreksi.</x:v>
      </x:c>
      <x:c r="H14" s="8" t="str">
        <x:v>Bila ada perubahan: simpan draf jika didukung / buang / lanjut edit. Gagal simpan mempertahankan input; konflik versi meminta review ulang, bukan overwrite.</x:v>
      </x:c>
    </x:row>
    <x:row r="15" ht="145" customHeight="1">
      <x:c r="A15" s="8" t="str">
        <x:v>F10 Pertanggungjawaban uang muka</x:v>
      </x:c>
      <x:c r="B15" s="8" t="str">
        <x:v>Tagihan &amp; Pengeluaran</x:v>
      </x:c>
      <x:c r="C15" s="8" t="str">
        <x:v>Identitas/konteks → field F10 sesuai urutan sheet 18 → tabel anak bila ada → bukti → ringkasan tindakan. Rincian tab pemanggil: sheet 16–17.</x:v>
      </x:c>
      <x:c r="D15" s="8" t="str">
        <x:v>S08; S06</x:v>
      </x:c>
      <x:c r="E15" s="8" t="str">
        <x:v>Simpan draf; Ajukan; Batal</x:v>
      </x:c>
      <x:c r="F15" s="8" t="str">
        <x:v>Membentuk atau merevisi dokumen sumber; simpan draf belum posting.</x:v>
      </x:c>
      <x:c r="G15" s="8" t="str">
        <x:v>Draf atau dikembalikan; sesudah diajukan baca saja. Revisi setelah posted melalui prosedur koreksi.</x:v>
      </x:c>
      <x:c r="H15" s="8" t="str">
        <x:v>Bila ada perubahan: simpan draf jika didukung / buang / lanjut edit. Gagal simpan mempertahankan input; konflik versi meminta review ulang, bukan overwrite.</x:v>
      </x:c>
    </x:row>
    <x:row r="16" ht="145" customHeight="1">
      <x:c r="A16" s="8" t="str">
        <x:v>F11 Biaya dibayar di muka</x:v>
      </x:c>
      <x:c r="B16" s="8" t="str">
        <x:v>Tagihan &amp; Pengeluaran</x:v>
      </x:c>
      <x:c r="C16" s="8" t="str">
        <x:v>Identitas/konteks → field F11 sesuai urutan sheet 18 → tabel anak bila ada → bukti → ringkasan tindakan. Rincian tab pemanggil: sheet 16–17.</x:v>
      </x:c>
      <x:c r="D16" s="8" t="str">
        <x:v>S09</x:v>
      </x:c>
      <x:c r="E16" s="8" t="str">
        <x:v>Simpan draf; Ajukan; Batal</x:v>
      </x:c>
      <x:c r="F16" s="8" t="str">
        <x:v>Membentuk atau merevisi dokumen sumber; simpan draf belum posting.</x:v>
      </x:c>
      <x:c r="G16" s="8" t="str">
        <x:v>Draf atau dikembalikan; sesudah diajukan baca saja. Revisi setelah posted melalui prosedur koreksi.</x:v>
      </x:c>
      <x:c r="H16" s="8" t="str">
        <x:v>Bila ada perubahan: simpan draf jika didukung / buang / lanjut edit. Gagal simpan mempertahankan input; konflik versi meminta review ulang, bukan overwrite.</x:v>
      </x:c>
    </x:row>
    <x:row r="17" ht="145" customHeight="1">
      <x:c r="A17" s="8" t="str">
        <x:v>F12 Tagihan pelanggan / nota kredit</x:v>
      </x:c>
      <x:c r="B17" s="8" t="str">
        <x:v>Penjualan &amp; Piutang</x:v>
      </x:c>
      <x:c r="C17" s="8" t="str">
        <x:v>Identitas/konteks → field F12 sesuai urutan sheet 18 → tabel anak bila ada → bukti → ringkasan tindakan. Rincian tab pemanggil: sheet 16–17.</x:v>
      </x:c>
      <x:c r="D17" s="8" t="str">
        <x:v>S06; S07</x:v>
      </x:c>
      <x:c r="E17" s="8" t="str">
        <x:v>Simpan draf; Ajukan; Batal</x:v>
      </x:c>
      <x:c r="F17" s="8" t="str">
        <x:v>Membentuk atau merevisi dokumen sumber; simpan draf belum posting.</x:v>
      </x:c>
      <x:c r="G17" s="8" t="str">
        <x:v>Draf atau dikembalikan; sesudah diajukan baca saja. Revisi setelah posted melalui prosedur koreksi.</x:v>
      </x:c>
      <x:c r="H17" s="8" t="str">
        <x:v>Bila ada perubahan: simpan draf jika didukung / buang / lanjut edit. Gagal simpan mempertahankan input; konflik versi meminta review ulang, bukan overwrite.</x:v>
      </x:c>
    </x:row>
    <x:row r="18" ht="145" customHeight="1">
      <x:c r="A18" s="8" t="str">
        <x:v>F13 Settlement kanal</x:v>
      </x:c>
      <x:c r="B18" s="8" t="str">
        <x:v>Penjualan &amp; Piutang</x:v>
      </x:c>
      <x:c r="C18" s="8" t="str">
        <x:v>Identitas/konteks → field F13 sesuai urutan sheet 18 → tabel anak bila ada → bukti → ringkasan tindakan. Rincian tab pemanggil: sheet 16–17.</x:v>
      </x:c>
      <x:c r="D18" s="8" t="str">
        <x:v>S10; S03</x:v>
      </x:c>
      <x:c r="E18" s="8" t="str">
        <x:v>Simpan draf; Ajukan; Batal</x:v>
      </x:c>
      <x:c r="F18" s="8" t="str">
        <x:v>Membentuk atau merevisi dokumen sumber; simpan draf belum posting.</x:v>
      </x:c>
      <x:c r="G18" s="8" t="str">
        <x:v>Draf atau dikembalikan; sesudah diajukan baca saja. Revisi setelah posted melalui prosedur koreksi.</x:v>
      </x:c>
      <x:c r="H18" s="8" t="str">
        <x:v>Bila ada perubahan: simpan draf jika didukung / buang / lanjut edit. Gagal simpan mempertahankan input; konflik versi meminta review ulang, bukan overwrite.</x:v>
      </x:c>
    </x:row>
    <x:row r="19" ht="145" customHeight="1">
      <x:c r="A19" s="8" t="str">
        <x:v>F14 Uang muka pelanggan / refund</x:v>
      </x:c>
      <x:c r="B19" s="8" t="str">
        <x:v>Penjualan &amp; Piutang</x:v>
      </x:c>
      <x:c r="C19" s="8" t="str">
        <x:v>Identitas/konteks → field F14 sesuai urutan sheet 18 → tabel anak bila ada → bukti → ringkasan tindakan. Rincian tab pemanggil: sheet 16–17.</x:v>
      </x:c>
      <x:c r="D19" s="8" t="str">
        <x:v>S03; S06</x:v>
      </x:c>
      <x:c r="E19" s="8" t="str">
        <x:v>Simpan draf; Ajukan; Batal</x:v>
      </x:c>
      <x:c r="F19" s="8" t="str">
        <x:v>Membentuk atau merevisi dokumen sumber; simpan draf belum posting.</x:v>
      </x:c>
      <x:c r="G19" s="8" t="str">
        <x:v>Draf atau dikembalikan; sesudah diajukan baca saja. Revisi setelah posted melalui prosedur koreksi.</x:v>
      </x:c>
      <x:c r="H19" s="8" t="str">
        <x:v>Bila ada perubahan: simpan draf jika didukung / buang / lanjut edit. Gagal simpan mempertahankan input; konflik versi meminta review ulang, bukan overwrite.</x:v>
      </x:c>
    </x:row>
    <x:row r="20" ht="145" customHeight="1">
      <x:c r="A20" s="8" t="str">
        <x:v>F15 Penilaian penerimaan / pemakaian</x:v>
      </x:c>
      <x:c r="B20" s="8" t="str">
        <x:v>Persediaan</x:v>
      </x:c>
      <x:c r="C20" s="8" t="str">
        <x:v>Identitas/konteks → field F15 sesuai urutan sheet 18 → tabel anak bila ada → bukti → ringkasan tindakan. Rincian tab pemanggil: sheet 16–17.</x:v>
      </x:c>
      <x:c r="D20" s="8" t="str">
        <x:v>S11</x:v>
      </x:c>
      <x:c r="E20" s="8" t="str">
        <x:v>Simpan draf; Ajukan; Batal</x:v>
      </x:c>
      <x:c r="F20" s="8" t="str">
        <x:v>Membentuk atau merevisi dokumen sumber; simpan draf belum posting.</x:v>
      </x:c>
      <x:c r="G20" s="8" t="str">
        <x:v>Draf atau dikembalikan; sesudah diajukan baca saja. Revisi setelah posted melalui prosedur koreksi.</x:v>
      </x:c>
      <x:c r="H20" s="8" t="str">
        <x:v>Bila ada perubahan: simpan draf jika didukung / buang / lanjut edit. Gagal simpan mempertahankan input; konflik versi meminta review ulang, bukan overwrite.</x:v>
      </x:c>
    </x:row>
    <x:row r="21" ht="145" customHeight="1">
      <x:c r="A21" s="8" t="str">
        <x:v>F16 Pengiriman / penerimaan antarunit</x:v>
      </x:c>
      <x:c r="B21" s="8" t="str">
        <x:v>Persediaan</x:v>
      </x:c>
      <x:c r="C21" s="8" t="str">
        <x:v>Identitas/konteks → field F16 sesuai urutan sheet 18 → tabel anak bila ada → bukti → ringkasan tindakan. Rincian tab pemanggil: sheet 16–17.</x:v>
      </x:c>
      <x:c r="D21" s="8" t="str">
        <x:v>S11; S12</x:v>
      </x:c>
      <x:c r="E21" s="8" t="str">
        <x:v>Simpan draf; Ajukan; Batal</x:v>
      </x:c>
      <x:c r="F21" s="8" t="str">
        <x:v>Membentuk atau merevisi dokumen sumber; simpan draf belum posting.</x:v>
      </x:c>
      <x:c r="G21" s="8" t="str">
        <x:v>Draf atau dikembalikan; sesudah diajukan baca saja. Revisi setelah posted melalui prosedur koreksi.</x:v>
      </x:c>
      <x:c r="H21" s="8" t="str">
        <x:v>Bila ada perubahan: simpan draf jika didukung / buang / lanjut edit. Gagal simpan mempertahankan input; konflik versi meminta review ulang, bukan overwrite.</x:v>
      </x:c>
    </x:row>
    <x:row r="22" ht="145" customHeight="1">
      <x:c r="A22" s="8" t="str">
        <x:v>F17 Opname / penyesuaian persediaan</x:v>
      </x:c>
      <x:c r="B22" s="8" t="str">
        <x:v>Persediaan</x:v>
      </x:c>
      <x:c r="C22" s="8" t="str">
        <x:v>Identitas/konteks → field F17 sesuai urutan sheet 18 → tabel anak bila ada → bukti → ringkasan tindakan. Rincian tab pemanggil: sheet 16–17.</x:v>
      </x:c>
      <x:c r="D22" s="8" t="str">
        <x:v>S11</x:v>
      </x:c>
      <x:c r="E22" s="8" t="str">
        <x:v>Simpan draf; Ajukan; Batal</x:v>
      </x:c>
      <x:c r="F22" s="8" t="str">
        <x:v>Membentuk atau merevisi dokumen sumber; simpan draf belum posting.</x:v>
      </x:c>
      <x:c r="G22" s="8" t="str">
        <x:v>Draf atau dikembalikan; sesudah diajukan baca saja. Revisi setelah posted melalui prosedur koreksi.</x:v>
      </x:c>
      <x:c r="H22" s="8" t="str">
        <x:v>Bila ada perubahan: simpan draf jika didukung / buang / lanjut edit. Gagal simpan mempertahankan input; konflik versi meminta review ulang, bukan overwrite.</x:v>
      </x:c>
    </x:row>
    <x:row r="23" ht="145" customHeight="1">
      <x:c r="A23" s="8" t="str">
        <x:v>F18 Transaksi / penyelesaian antarunit</x:v>
      </x:c>
      <x:c r="B23" s="8" t="str">
        <x:v>Antarunit</x:v>
      </x:c>
      <x:c r="C23" s="8" t="str">
        <x:v>Identitas/konteks → field F18 sesuai urutan sheet 18 → tabel anak bila ada → bukti → ringkasan tindakan. Rincian tab pemanggil: sheet 16–17.</x:v>
      </x:c>
      <x:c r="D23" s="8" t="str">
        <x:v>S12; S03</x:v>
      </x:c>
      <x:c r="E23" s="8" t="str">
        <x:v>Simpan draf; Ajukan; Batal</x:v>
      </x:c>
      <x:c r="F23" s="8" t="str">
        <x:v>Membentuk atau merevisi dokumen sumber; simpan draf belum posting.</x:v>
      </x:c>
      <x:c r="G23" s="8" t="str">
        <x:v>Draf atau dikembalikan; sesudah diajukan baca saja. Revisi setelah posted melalui prosedur koreksi.</x:v>
      </x:c>
      <x:c r="H23" s="8" t="str">
        <x:v>Bila ada perubahan: simpan draf jika didukung / buang / lanjut edit. Gagal simpan mempertahankan input; konflik versi meminta review ulang, bukan overwrite.</x:v>
      </x:c>
    </x:row>
    <x:row r="24" ht="145" customHeight="1">
      <x:c r="A24" s="8" t="str">
        <x:v>F19 Rekonsiliasi saldo / kasus selisih</x:v>
      </x:c>
      <x:c r="B24" s="8" t="str">
        <x:v>Ringkasan; Persediaan; Antarunit; Payroll; Akuntansi &amp; Tutup Buku; Laporan</x:v>
      </x:c>
      <x:c r="C24" s="8" t="str">
        <x:v>Identitas/konteks → field F19 sesuai urutan sheet 18 → tabel anak bila ada → bukti → ringkasan tindakan. Rincian tab pemanggil: sheet 16–17.</x:v>
      </x:c>
      <x:c r="D24" s="8" t="str">
        <x:v>S13</x:v>
      </x:c>
      <x:c r="E24" s="8" t="str">
        <x:v>Simpan hasil; Ajukan review; Batal</x:v>
      </x:c>
      <x:c r="F24" s="8" t="str">
        <x:v>Bukti rekonsiliasi; koreksi dilakukan pada sumber yang salah, bukan jurnal otomatis tanpa dasar.</x:v>
      </x:c>
      <x:c r="G24" s="8" t="str">
        <x:v>Draf atau dikembalikan; sesudah diajukan baca saja. Revisi setelah posted melalui prosedur koreksi.</x:v>
      </x:c>
      <x:c r="H24" s="8" t="str">
        <x:v>Bila ada perubahan: simpan draf jika didukung / buang / lanjut edit. Gagal simpan mempertahankan input; konflik versi meminta review ulang, bukan overwrite.</x:v>
      </x:c>
    </x:row>
    <x:row r="25" ht="145" customHeight="1">
      <x:c r="A25" s="8" t="str">
        <x:v>F20 Proyek / kapitalisasi aset</x:v>
      </x:c>
      <x:c r="B25" s="8" t="str">
        <x:v>Aset &amp; Proyek</x:v>
      </x:c>
      <x:c r="C25" s="8" t="str">
        <x:v>Identitas/konteks → field F20 sesuai urutan sheet 18 → tabel anak bila ada → bukti → ringkasan tindakan. Rincian tab pemanggil: sheet 16–17.</x:v>
      </x:c>
      <x:c r="D25" s="8" t="str">
        <x:v>S14; S15</x:v>
      </x:c>
      <x:c r="E25" s="8" t="str">
        <x:v>Simpan draf; Ajukan; Batal</x:v>
      </x:c>
      <x:c r="F25" s="8" t="str">
        <x:v>Membentuk atau merevisi dokumen sumber; simpan draf belum posting.</x:v>
      </x:c>
      <x:c r="G25" s="8" t="str">
        <x:v>Draf atau dikembalikan; sesudah diajukan baca saja. Revisi setelah posted melalui prosedur koreksi.</x:v>
      </x:c>
      <x:c r="H25" s="8" t="str">
        <x:v>Bila ada perubahan: simpan draf jika didukung / buang / lanjut edit. Gagal simpan mempertahankan input; konflik versi meminta review ulang, bukan overwrite.</x:v>
      </x:c>
    </x:row>
    <x:row r="26" ht="145" customHeight="1">
      <x:c r="A26" s="8" t="str">
        <x:v>F21 Transfer / pelepasan aset</x:v>
      </x:c>
      <x:c r="B26" s="8" t="str">
        <x:v>Aset &amp; Proyek</x:v>
      </x:c>
      <x:c r="C26" s="8" t="str">
        <x:v>Identitas/konteks → field F21 sesuai urutan sheet 18 → tabel anak bila ada → bukti → ringkasan tindakan. Rincian tab pemanggil: sheet 16–17.</x:v>
      </x:c>
      <x:c r="D26" s="8" t="str">
        <x:v>S14; S03</x:v>
      </x:c>
      <x:c r="E26" s="8" t="str">
        <x:v>Simpan draf; Ajukan; Batal</x:v>
      </x:c>
      <x:c r="F26" s="8" t="str">
        <x:v>Membentuk atau merevisi dokumen sumber; simpan draf belum posting.</x:v>
      </x:c>
      <x:c r="G26" s="8" t="str">
        <x:v>Draf atau dikembalikan; sesudah diajukan baca saja. Revisi setelah posted melalui prosedur koreksi.</x:v>
      </x:c>
      <x:c r="H26" s="8" t="str">
        <x:v>Bila ada perubahan: simpan draf jika didukung / buang / lanjut edit. Gagal simpan mempertahankan input; konflik versi meminta review ulang, bukan overwrite.</x:v>
      </x:c>
    </x:row>
    <x:row r="27" ht="145" customHeight="1">
      <x:c r="A27" s="8" t="str">
        <x:v>F22 Jadwal pengakuan / posting periodik</x:v>
      </x:c>
      <x:c r="B27" s="8" t="str">
        <x:v>Tagihan &amp; Pengeluaran; Aset &amp; Proyek; Akuntansi &amp; Tutup Buku</x:v>
      </x:c>
      <x:c r="C27" s="8" t="str">
        <x:v>Identitas/konteks → field F22 sesuai urutan sheet 18 → tabel anak bila ada → bukti → ringkasan tindakan. Rincian tab pemanggil: sheet 16–17.</x:v>
      </x:c>
      <x:c r="D27" s="8" t="str">
        <x:v>S09</x:v>
      </x:c>
      <x:c r="E27" s="8" t="str">
        <x:v>Tinjau; Ajukan posting; Batal</x:v>
      </x:c>
      <x:c r="F27" s="8" t="str">
        <x:v>Membentuk atau merevisi dokumen sumber; simpan draf belum posting.</x:v>
      </x:c>
      <x:c r="G27" s="8" t="str">
        <x:v>Draf atau dikembalikan; sesudah diajukan baca saja. Revisi setelah posted melalui prosedur koreksi.</x:v>
      </x:c>
      <x:c r="H27" s="8" t="str">
        <x:v>Bila ada perubahan: simpan draf jika didukung / buang / lanjut edit. Gagal simpan mempertahankan input; konflik versi meminta review ulang, bukan overwrite.</x:v>
      </x:c>
    </x:row>
    <x:row r="28" ht="145" customHeight="1">
      <x:c r="A28" s="8" t="str">
        <x:v>F23 Penerimaan batch payroll HR</x:v>
      </x:c>
      <x:c r="B28" s="8" t="str">
        <x:v>Payroll</x:v>
      </x:c>
      <x:c r="C28" s="8" t="str">
        <x:v>Identitas/konteks → field F23 sesuai urutan sheet 18 → tabel anak bila ada → bukti → ringkasan tindakan. Rincian tab pemanggil: sheet 16–17.</x:v>
      </x:c>
      <x:c r="D28" s="8" t="str">
        <x:v>S16; S17</x:v>
      </x:c>
      <x:c r="E28" s="8" t="str">
        <x:v>Terima batch / Kembalikan ke HR; Batal</x:v>
      </x:c>
      <x:c r="F28" s="8" t="str">
        <x:v>Kewajiban dan referensi batch versi yang sama; pembayaran melalui F02, bukan status dibayar manual.</x:v>
      </x:c>
      <x:c r="G28" s="8" t="str">
        <x:v>Draf atau dikembalikan; sesudah diajukan baca saja. Revisi setelah posted melalui prosedur koreksi.</x:v>
      </x:c>
      <x:c r="H28" s="8" t="str">
        <x:v>Bila ada perubahan: simpan draf jika didukung / buang / lanjut edit. Gagal simpan mempertahankan input; konflik versi meminta review ulang, bukan overwrite.</x:v>
      </x:c>
    </x:row>
    <x:row r="29" ht="145" customHeight="1">
      <x:c r="A29" s="8" t="str">
        <x:v>F24 Pinjaman pegawai / pelunasan</x:v>
      </x:c>
      <x:c r="B29" s="8" t="str">
        <x:v>Payroll</x:v>
      </x:c>
      <x:c r="C29" s="8" t="str">
        <x:v>Identitas/konteks → field F24 sesuai urutan sheet 18 → tabel anak bila ada → bukti → ringkasan tindakan. Rincian tab pemanggil: sheet 16–17.</x:v>
      </x:c>
      <x:c r="D29" s="8" t="str">
        <x:v>S03; S17</x:v>
      </x:c>
      <x:c r="E29" s="8" t="str">
        <x:v>Simpan draf; Ajukan; Batal</x:v>
      </x:c>
      <x:c r="F29" s="8" t="str">
        <x:v>Membentuk atau merevisi dokumen sumber; simpan draf belum posting.</x:v>
      </x:c>
      <x:c r="G29" s="8" t="str">
        <x:v>Draf atau dikembalikan; sesudah diajukan baca saja. Revisi setelah posted melalui prosedur koreksi.</x:v>
      </x:c>
      <x:c r="H29" s="8" t="str">
        <x:v>Bila ada perubahan: simpan draf jika didukung / buang / lanjut edit. Gagal simpan mempertahankan input; konflik versi meminta review ulang, bukan overwrite.</x:v>
      </x:c>
    </x:row>
    <x:row r="30" ht="145" customHeight="1">
      <x:c r="A30" s="8" t="str">
        <x:v>F25 Dokumen / kewajiban pajak</x:v>
      </x:c>
      <x:c r="B30" s="8" t="str">
        <x:v>Pajak</x:v>
      </x:c>
      <x:c r="C30" s="8" t="str">
        <x:v>Identitas/konteks → field F25 sesuai urutan sheet 18 → tabel anak bila ada → bukti → ringkasan tindakan. Rincian tab pemanggil: sheet 16–17.</x:v>
      </x:c>
      <x:c r="D30" s="8" t="str">
        <x:v>S07; S03</x:v>
      </x:c>
      <x:c r="E30" s="8" t="str">
        <x:v>Simpan draf; Ajukan; Batal</x:v>
      </x:c>
      <x:c r="F30" s="8" t="str">
        <x:v>Membentuk atau merevisi dokumen sumber; simpan draf belum posting.</x:v>
      </x:c>
      <x:c r="G30" s="8" t="str">
        <x:v>Draf atau dikembalikan; sesudah diajukan baca saja. Revisi setelah posted melalui prosedur koreksi.</x:v>
      </x:c>
      <x:c r="H30" s="8" t="str">
        <x:v>Bila ada perubahan: simpan draf jika didukung / buang / lanjut edit. Gagal simpan mempertahankan input; konflik versi meminta review ulang, bukan overwrite.</x:v>
      </x:c>
    </x:row>
    <x:row r="31" ht="145" customHeight="1">
      <x:c r="A31" s="8" t="str">
        <x:v>F26 Pelaporan pajak</x:v>
      </x:c>
      <x:c r="B31" s="8" t="str">
        <x:v>Pajak</x:v>
      </x:c>
      <x:c r="C31" s="8" t="str">
        <x:v>Identitas/konteks → field F26 sesuai urutan sheet 18 → tabel anak bila ada → bukti → ringkasan tindakan. Rincian tab pemanggil: sheet 16–17.</x:v>
      </x:c>
      <x:c r="D31" s="8" t="str">
        <x:v>S01; S07</x:v>
      </x:c>
      <x:c r="E31" s="8" t="str">
        <x:v>Simpan draf; Ajukan; Batal</x:v>
      </x:c>
      <x:c r="F31" s="8" t="str">
        <x:v>Membentuk atau merevisi dokumen sumber; simpan draf belum posting.</x:v>
      </x:c>
      <x:c r="G31" s="8" t="str">
        <x:v>Draf atau dikembalikan; sesudah diajukan baca saja. Revisi setelah posted melalui prosedur koreksi.</x:v>
      </x:c>
      <x:c r="H31" s="8" t="str">
        <x:v>Bila ada perubahan: simpan draf jika didukung / buang / lanjut edit. Gagal simpan mempertahankan input; konflik versi meminta review ulang, bukan overwrite.</x:v>
      </x:c>
    </x:row>
    <x:row r="32" ht="145" customHeight="1">
      <x:c r="A32" s="8" t="str">
        <x:v>F27 Kontrak pinjaman dan angsuran</x:v>
      </x:c>
      <x:c r="B32" s="8" t="str">
        <x:v>Pendanaan &amp; Modal</x:v>
      </x:c>
      <x:c r="C32" s="8" t="str">
        <x:v>Identitas/konteks → field F27 sesuai urutan sheet 18 → tabel anak bila ada → bukti → ringkasan tindakan. Rincian tab pemanggil: sheet 16–17.</x:v>
      </x:c>
      <x:c r="D32" s="8" t="str">
        <x:v>S18; S03</x:v>
      </x:c>
      <x:c r="E32" s="8" t="str">
        <x:v>Simpan draf; Ajukan; Batal</x:v>
      </x:c>
      <x:c r="F32" s="8" t="str">
        <x:v>Membentuk atau merevisi dokumen sumber; simpan draf belum posting.</x:v>
      </x:c>
      <x:c r="G32" s="8" t="str">
        <x:v>Draf atau dikembalikan; sesudah diajukan baca saja. Revisi setelah posted melalui prosedur koreksi.</x:v>
      </x:c>
      <x:c r="H32" s="8" t="str">
        <x:v>Bila ada perubahan: simpan draf jika didukung / buang / lanjut edit. Gagal simpan mempertahankan input; konflik versi meminta review ulang, bukan overwrite.</x:v>
      </x:c>
    </x:row>
    <x:row r="33" ht="145" customHeight="1">
      <x:c r="A33" s="8" t="str">
        <x:v>F28 Transaksi modal / distribusi</x:v>
      </x:c>
      <x:c r="B33" s="8" t="str">
        <x:v>Pendanaan &amp; Modal</x:v>
      </x:c>
      <x:c r="C33" s="8" t="str">
        <x:v>Identitas/konteks → field F28 sesuai urutan sheet 18 → tabel anak bila ada → bukti → ringkasan tindakan. Rincian tab pemanggil: sheet 16–17.</x:v>
      </x:c>
      <x:c r="D33" s="8" t="str">
        <x:v>S19; S03</x:v>
      </x:c>
      <x:c r="E33" s="8" t="str">
        <x:v>Simpan draf; Ajukan; Batal</x:v>
      </x:c>
      <x:c r="F33" s="8" t="str">
        <x:v>Membentuk atau merevisi dokumen sumber; simpan draf belum posting.</x:v>
      </x:c>
      <x:c r="G33" s="8" t="str">
        <x:v>Draf atau dikembalikan; sesudah diajukan baca saja. Revisi setelah posted melalui prosedur koreksi.</x:v>
      </x:c>
      <x:c r="H33" s="8" t="str">
        <x:v>Bila ada perubahan: simpan draf jika didukung / buang / lanjut edit. Gagal simpan mempertahankan input; konflik versi meminta review ulang, bukan overwrite.</x:v>
      </x:c>
    </x:row>
    <x:row r="34" ht="145" customHeight="1">
      <x:c r="A34" s="8" t="str">
        <x:v>F29 Jurnal manual</x:v>
      </x:c>
      <x:c r="B34" s="8" t="str">
        <x:v>Akuntansi &amp; Tutup Buku</x:v>
      </x:c>
      <x:c r="C34" s="8" t="str">
        <x:v>Identitas/konteks → field F29 sesuai urutan sheet 18 → tabel anak bila ada → bukti → ringkasan tindakan. Rincian tab pemanggil: sheet 16–17.</x:v>
      </x:c>
      <x:c r="D34" s="8" t="str">
        <x:v>S20</x:v>
      </x:c>
      <x:c r="E34" s="8" t="str">
        <x:v>Simpan draf; Ajukan review; Batal</x:v>
      </x:c>
      <x:c r="F34" s="8" t="str">
        <x:v>Membentuk atau merevisi dokumen sumber; simpan draf belum posting.</x:v>
      </x:c>
      <x:c r="G34" s="8" t="str">
        <x:v>Draf atau dikembalikan; sesudah diajukan baca saja. Revisi setelah posted melalui prosedur koreksi.</x:v>
      </x:c>
      <x:c r="H34" s="8" t="str">
        <x:v>Bila ada perubahan: simpan draf jika didukung / buang / lanjut edit. Gagal simpan mempertahankan input; konflik versi meminta review ulang, bukan overwrite.</x:v>
      </x:c>
    </x:row>
    <x:row r="35" ht="145" customHeight="1">
      <x:c r="A35" s="8" t="str">
        <x:v>F30 Tutup / buka kembali periode</x:v>
      </x:c>
      <x:c r="B35" s="8" t="str">
        <x:v>Akuntansi &amp; Tutup Buku</x:v>
      </x:c>
      <x:c r="C35" s="8" t="str">
        <x:v>Identitas/konteks → field F30 sesuai urutan sheet 18 → tabel anak bila ada → bukti → ringkasan tindakan. Rincian tab pemanggil: sheet 16–17.</x:v>
      </x:c>
      <x:c r="D35" s="8" t="str">
        <x:v>S21; S13</x:v>
      </x:c>
      <x:c r="E35" s="8" t="str">
        <x:v>Ajukan review / Tutup / Ajukan buka ulang; Batal</x:v>
      </x:c>
      <x:c r="F35" s="8" t="str">
        <x:v>Status periode dan bukti terkait berubah melalui keputusan sah; bukan mengarang jurnal penutup otomatis.</x:v>
      </x:c>
      <x:c r="G35" s="8" t="str">
        <x:v>Draf atau dikembalikan; sesudah diajukan baca saja. Revisi setelah posted melalui prosedur koreksi.</x:v>
      </x:c>
      <x:c r="H35" s="8" t="str">
        <x:v>Bila ada perubahan: simpan draf jika didukung / buang / lanjut edit. Gagal simpan mempertahankan input; konflik versi meminta review ulang, bukan overwrite.</x:v>
      </x:c>
    </x:row>
    <x:row r="36" ht="145" customHeight="1">
      <x:c r="A36" s="8" t="str">
        <x:v>F31 COA</x:v>
      </x:c>
      <x:c r="B36" s="8" t="str">
        <x:v>Pengaturan Finance</x:v>
      </x:c>
      <x:c r="C36" s="8" t="str">
        <x:v>Identitas/konteks → field F31 sesuai urutan sheet 18 → tabel anak bila ada → bukti → ringkasan tindakan. Rincian tab pemanggil: sheet 16–17.</x:v>
      </x:c>
      <x:c r="D36" s="8" t="str">
        <x:v>S22</x:v>
      </x:c>
      <x:c r="E36" s="8" t="str">
        <x:v>Simpan draf; Ajukan; Batal</x:v>
      </x:c>
      <x:c r="F36" s="8" t="str">
        <x:v>Membentuk atau merevisi dokumen sumber; simpan draf belum posting.</x:v>
      </x:c>
      <x:c r="G36" s="8" t="str">
        <x:v>Draf atau dikembalikan; sesudah diajukan baca saja. Revisi setelah posted melalui prosedur koreksi.</x:v>
      </x:c>
      <x:c r="H36" s="8" t="str">
        <x:v>Bila ada perubahan: simpan draf jika didukung / buang / lanjut edit. Gagal simpan mempertahankan input; konflik versi meminta review ulang, bukan overwrite.</x:v>
      </x:c>
    </x:row>
    <x:row r="37" ht="145" customHeight="1">
      <x:c r="A37" s="8" t="str">
        <x:v>F32 Pemetaan transaksi</x:v>
      </x:c>
      <x:c r="B37" s="8" t="str">
        <x:v>Pengaturan Finance</x:v>
      </x:c>
      <x:c r="C37" s="8" t="str">
        <x:v>Identitas/konteks → field F32 sesuai urutan sheet 18 → tabel anak bila ada → bukti → ringkasan tindakan. Rincian tab pemanggil: sheet 16–17.</x:v>
      </x:c>
      <x:c r="D37" s="8" t="str">
        <x:v>S22; S20</x:v>
      </x:c>
      <x:c r="E37" s="8" t="str">
        <x:v>Simpan draf; Simulasikan; Ajukan; Batal</x:v>
      </x:c>
      <x:c r="F37" s="8" t="str">
        <x:v>Membentuk atau merevisi dokumen sumber; simpan draf belum posting.</x:v>
      </x:c>
      <x:c r="G37" s="8" t="str">
        <x:v>Draf atau dikembalikan; sesudah diajukan baca saja. Revisi setelah posted melalui prosedur koreksi.</x:v>
      </x:c>
      <x:c r="H37" s="8" t="str">
        <x:v>Bila ada perubahan: simpan draf jika didukung / buang / lanjut edit. Gagal simpan mempertahankan input; konflik versi meminta review ulang, bukan overwrite.</x:v>
      </x:c>
    </x:row>
    <x:row r="38" ht="145" customHeight="1">
      <x:c r="A38" s="8" t="str">
        <x:v>F33 Master rekening / pihak</x:v>
      </x:c>
      <x:c r="B38" s="8" t="str">
        <x:v>Kas &amp; Bank; Pengaturan Finance</x:v>
      </x:c>
      <x:c r="C38" s="8" t="str">
        <x:v>Identitas/konteks → field F33 sesuai urutan sheet 18 → tabel anak bila ada → bukti → ringkasan tindakan. Rincian tab pemanggil: sheet 16–17.</x:v>
      </x:c>
      <x:c r="D38" s="8" t="str">
        <x:v>S22</x:v>
      </x:c>
      <x:c r="E38" s="8" t="str">
        <x:v>Simpan draf; Ajukan; Batal</x:v>
      </x:c>
      <x:c r="F38" s="8" t="str">
        <x:v>Membentuk atau merevisi dokumen sumber; simpan draf belum posting.</x:v>
      </x:c>
      <x:c r="G38" s="8" t="str">
        <x:v>Draf atau dikembalikan; sesudah diajukan baca saja. Revisi setelah posted melalui prosedur koreksi.</x:v>
      </x:c>
      <x:c r="H38" s="8" t="str">
        <x:v>Bila ada perubahan: simpan draf jika didukung / buang / lanjut edit. Gagal simpan mempertahankan input; konflik versi meminta review ulang, bukan overwrite.</x:v>
      </x:c>
    </x:row>
    <x:row r="39" ht="145" customHeight="1">
      <x:c r="A39" s="8" t="str">
        <x:v>F34 Kebijakan / akses Finance</x:v>
      </x:c>
      <x:c r="B39" s="8" t="str">
        <x:v>Pengaturan Finance</x:v>
      </x:c>
      <x:c r="C39" s="8" t="str">
        <x:v>Identitas/konteks → field F34 sesuai urutan sheet 18 → tabel anak bila ada → bukti → ringkasan tindakan. Rincian tab pemanggil: sheet 16–17.</x:v>
      </x:c>
      <x:c r="D39" s="8" t="str">
        <x:v>S22</x:v>
      </x:c>
      <x:c r="E39" s="8" t="str">
        <x:v>Simpan draf; Ajukan; Batal</x:v>
      </x:c>
      <x:c r="F39" s="8" t="str">
        <x:v>Membentuk atau merevisi dokumen sumber; simpan draf belum posting.</x:v>
      </x:c>
      <x:c r="G39" s="8" t="str">
        <x:v>Draf atau dikembalikan; sesudah diajukan baca saja. Revisi setelah posted melalui prosedur koreksi.</x:v>
      </x:c>
      <x:c r="H39" s="8" t="str">
        <x:v>Bila ada perubahan: simpan draf jika didukung / buang / lanjut edit. Gagal simpan mempertahankan input; konflik versi meminta review ulang, bukan overwrite.</x:v>
      </x:c>
    </x:row>
    <x:row r="40" ht="145" customHeight="1">
      <x:c r="A40" s="8" t="str">
        <x:v>F35 Impor / ekspor dan laporan</x:v>
      </x:c>
      <x:c r="B40" s="8" t="str">
        <x:v>Penjualan &amp; Piutang; Pendanaan &amp; Modal; Laporan</x:v>
      </x:c>
      <x:c r="C40" s="8" t="str">
        <x:v>Identitas/konteks → field F35 sesuai urutan sheet 18 → tabel anak bila ada → bukti → ringkasan tindakan. Rincian tab pemanggil: sheet 16–17.</x:v>
      </x:c>
      <x:c r="D40" s="8" t="str">
        <x:v>S23</x:v>
      </x:c>
      <x:c r="E40" s="8" t="str">
        <x:v>Pratinjau; Konfirmasi impor / Ekspor; Batal</x:v>
      </x:c>
      <x:c r="F40" s="8" t="str">
        <x:v>Hasil sesuai konteks; impor memberi hasil per baris, laporan tetap baca saja.</x:v>
      </x:c>
      <x:c r="G40" s="8" t="str">
        <x:v>Draf atau dikembalikan; sesudah diajukan baca saja. Revisi setelah posted melalui prosedur koreksi.</x:v>
      </x:c>
      <x:c r="H40" s="8" t="str">
        <x:v>Bila ada perubahan: simpan draf jika didukung / buang / lanjut edit. Gagal simpan mempertahankan input; konflik versi meminta review ulang, bukan overwrite.</x:v>
      </x:c>
    </x:row>
    <x:row r="43" ht="28" customHeight="1">
      <x:c r="A43" s="27" t="str">
        <x:v>Status yang harus dibedakan</x:v>
      </x:c>
      <x:c r="B43" s="27" t="str">
        <x:v>Status yang harus dibedakan</x:v>
      </x:c>
      <x:c r="C43" s="27" t="str">
        <x:v>Status yang harus dibedakan</x:v>
      </x:c>
      <x:c r="D43" s="27" t="str">
        <x:v>Status yang harus dibedakan</x:v>
      </x:c>
      <x:c r="E43" s="27" t="str">
        <x:v>Status yang harus dibedakan</x:v>
      </x:c>
      <x:c r="F43" s="27" t="str">
        <x:v>Status yang harus dibedakan</x:v>
      </x:c>
      <x:c r="G43" s="27" t="str">
        <x:v>Status yang harus dibedakan</x:v>
      </x:c>
      <x:c r="H43" s="27" t="str">
        <x:v>Status yang harus dibedakan</x:v>
      </x:c>
    </x:row>
    <x:row r="44" ht="38" customHeight="1">
      <x:c r="A44" s="25" t="str">
        <x:v>Objek</x:v>
      </x:c>
      <x:c r="B44" s="25" t="str">
        <x:v>Persetujuan</x:v>
      </x:c>
      <x:c r="C44" s="25" t="str">
        <x:v>Pencatatan / pelaksanaan</x:v>
      </x:c>
      <x:c r="D44" s="25" t="str">
        <x:v>Penyelesaian</x:v>
      </x:c>
      <x:c r="E44" s="25" t="str">
        <x:v>Contoh tombol aktif</x:v>
      </x:c>
      <x:c r="F44" s="25" t="str">
        <x:v>Yang tidak boleh disimpulkan</x:v>
      </x:c>
    </x:row>
    <x:row r="45" ht="80" customHeight="1">
      <x:c r="A45" s="8" t="str">
        <x:v>Tagihan</x:v>
      </x:c>
      <x:c r="B45" s="8" t="str">
        <x:v>Draf → diajukan → disetujui / kembali / tolak</x:v>
      </x:c>
      <x:c r="C45" s="8" t="str">
        <x:v>Belum tercatat → posted sesuai proses</x:v>
      </x:c>
      <x:c r="D45" s="8" t="str">
        <x:v>Belum dibayar → sebagian → lunas</x:v>
      </x:c>
      <x:c r="E45" s="8" t="str">
        <x:v>Bayar hanya untuk sisa yang sah</x:v>
      </x:c>
      <x:c r="F45" s="8" t="str">
        <x:v>Disetujui tidak berarti dibayar</x:v>
      </x:c>
    </x:row>
    <x:row r="46" ht="80" customHeight="1">
      <x:c r="A46" s="8" t="str">
        <x:v>Payment</x:v>
      </x:c>
      <x:c r="B46" s="8" t="str">
        <x:v>Draf → disetujui</x:v>
      </x:c>
      <x:c r="C46" s="8" t="str">
        <x:v>Disiapkan → diproses → berhasil / gagal</x:v>
      </x:c>
      <x:c r="D46" s="8" t="str">
        <x:v>Alokasi dan rekonsiliasi terpisah</x:v>
      </x:c>
      <x:c r="E46" s="8" t="str">
        <x:v>Eksekusi hanya sekali; retry memakai identitas yang sama</x:v>
      </x:c>
      <x:c r="F46" s="8" t="str">
        <x:v>Terkirim ke bank belum tentu berhasil</x:v>
      </x:c>
    </x:row>
    <x:row r="47" ht="80" customHeight="1">
      <x:c r="A47" s="8" t="str">
        <x:v>Giro</x:v>
      </x:c>
      <x:c r="B47" s="8" t="str">
        <x:v>Disetujui sebelum terbit</x:v>
      </x:c>
      <x:c r="C47" s="8" t="str">
        <x:v>Diterbitkan → cair / ditolak / dibatalkan</x:v>
      </x:c>
      <x:c r="D47" s="8" t="str">
        <x:v>Outstanding sesuai bank sampai selesai</x:v>
      </x:c>
      <x:c r="E47" s="8" t="str">
        <x:v>Catat cair hanya dengan bukti aktual</x:v>
      </x:c>
      <x:c r="F47" s="8" t="str">
        <x:v>Jatuh tempo bukan tanggal cair otomatis</x:v>
      </x:c>
    </x:row>
    <x:row r="48" ht="80" customHeight="1">
      <x:c r="A48" s="8" t="str">
        <x:v>Pajak</x:v>
      </x:c>
      <x:c r="B48" s="8" t="str">
        <x:v>Dokumen/kewajiban direview</x:v>
      </x:c>
      <x:c r="C48" s="8" t="str">
        <x:v>Status bayar terpisah dari status lapor</x:v>
      </x:c>
      <x:c r="D48" s="8" t="str">
        <x:v>Bukti masing-masing tersimpan</x:v>
      </x:c>
      <x:c r="E48" s="8" t="str">
        <x:v>Catat pelaporan dengan tanda terima</x:v>
      </x:c>
      <x:c r="F48" s="8" t="str">
        <x:v>Dilaporkan tidak berarti sudah dibayar</x:v>
      </x:c>
    </x:row>
    <x:row r="49" ht="80" customHeight="1">
      <x:c r="A49" s="8" t="str">
        <x:v>Payroll HR</x:v>
      </x:c>
      <x:c r="B49" s="8" t="str">
        <x:v>Approved dan lengkap</x:v>
      </x:c>
      <x:c r="C49" s="8" t="str">
        <x:v>Sealed → diterima Finance → kewajiban</x:v>
      </x:c>
      <x:c r="D49" s="8" t="str">
        <x:v>Belum dibayar → sebagian → selesai</x:v>
      </x:c>
      <x:c r="E49" s="8" t="str">
        <x:v>Terima batch hanya versi final sah</x:v>
      </x:c>
      <x:c r="F49" s="8" t="str">
        <x:v>Finance tidak mengedit gaji HR</x:v>
      </x:c>
    </x:row>
    <x:row r="50" ht="80" customHeight="1">
      <x:c r="A50" s="8" t="str">
        <x:v>Jurnal</x:v>
      </x:c>
      <x:c r="B50" s="8" t="str">
        <x:v>Draf → review → disetujui</x:v>
      </x:c>
      <x:c r="C50" s="8" t="str">
        <x:v>Diposting → dikoreksi/dibalik</x:v>
      </x:c>
      <x:c r="D50" s="8" t="str">
        <x:v>Rekonsiliasi sesuai sumber</x:v>
      </x:c>
      <x:c r="E50" s="8" t="str">
        <x:v>Posting hanya seimbang dan akun sah</x:v>
      </x:c>
      <x:c r="F50" s="8" t="str">
        <x:v>Jurnal posted tidak dihapus untuk koreksi</x:v>
      </x:c>
    </x:row>
    <x:row r="51" ht="80" customHeight="1">
      <x:c r="A51" s="8" t="str">
        <x:v>Periode</x:v>
      </x:c>
      <x:c r="B51" s="8" t="str">
        <x:v>Persiapan → review</x:v>
      </x:c>
      <x:c r="C51" s="8" t="str">
        <x:v>Terbuka → ditutup → dibuka ulang dengan mandat</x:v>
      </x:c>
      <x:c r="D51" s="8" t="str">
        <x:v>Bukti dan versi terjaga</x:v>
      </x:c>
      <x:c r="E51" s="8" t="str">
        <x:v>Tutup setelah kesiapan nyata</x:v>
      </x:c>
      <x:c r="F51" s="8" t="str">
        <x:v>Mengubah label tidak membuktikan proses selesai</x:v>
      </x:c>
    </x:row>
  </x:sheetData>
  <x:mergeCells>
    <x:mergeCell ref="A1:H1"/>
    <x:mergeCell ref="A2:H3"/>
    <x:mergeCell ref="A43:H43"/>
  </x:mergeCells>
  <x:pageMargins left="0.7" right="0.7" top="0.75" bottom="0.75" header="0.3" footer="0.3"/>
  <x:tableParts count="2">
    <x:tablePart xmlns:r="http://schemas.openxmlformats.org/officeDocument/2006/relationships" r:id="Raf5f8302b5c74734"/>
    <x:tablePart xmlns:r="http://schemas.openxmlformats.org/officeDocument/2006/relationships" r:id="R95adf78e997e46ab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2" t="str">
        <x:v>Subtable dan contoh editable table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3" t="str">
        <x:v>S01–S25 adalah tabel di dalam detail/form, bukan menu utama baru. Contoh antarblok berdiri sendiri. Input kuning hanya pada contoh S03, S06 dan S20; tabel lain memperlihatkan bentuk serta aturan aplikasi.</x:v>
      </x:c>
      <x:c r="B2" s="23"/>
      <x:c r="C2" s="23"/>
      <x:c r="D2" s="23"/>
      <x:c r="E2" s="23"/>
      <x:c r="F2" s="23"/>
      <x:c r="G2" s="23"/>
      <x:c r="H2" s="23"/>
    </x:row>
    <x:row r="3" ht="22" customHeight="1">
      <x:c r="A3" s="23"/>
      <x:c r="B3" s="23"/>
      <x:c r="C3" s="23"/>
      <x:c r="D3" s="23"/>
      <x:c r="E3" s="23"/>
      <x:c r="F3" s="23"/>
      <x:c r="G3" s="23"/>
      <x:c r="H3" s="23"/>
    </x:row>
    <x:row r="5" ht="28" customHeight="1">
      <x:c r="A5" s="27" t="str">
        <x:v>S01 Dokumen pendukung</x:v>
      </x:c>
      <x:c r="B5" s="27" t="str">
        <x:v>S01 Dokumen pendukung</x:v>
      </x:c>
      <x:c r="C5" s="27" t="str">
        <x:v>S01 Dokumen pendukung</x:v>
      </x:c>
      <x:c r="D5" s="27" t="str">
        <x:v>S01 Dokumen pendukung</x:v>
      </x:c>
      <x:c r="E5" s="27" t="str">
        <x:v>S01 Dokumen pendukung</x:v>
      </x:c>
      <x:c r="F5" s="27" t="str">
        <x:v>S01 Dokumen pendukung</x:v>
      </x:c>
      <x:c r="G5" s="27" t="str">
        <x:v>S01 Dokumen pendukung</x:v>
      </x:c>
      <x:c r="H5" s="27" t="str">
        <x:v>S01 Dokumen pendukung</x:v>
      </x:c>
    </x:row>
    <x:row r="6" ht="38" customHeight="1">
      <x:c r="A6" s="25" t="str">
        <x:v>Nama</x:v>
      </x:c>
      <x:c r="B6" s="25" t="str">
        <x:v>Jenis</x:v>
      </x:c>
      <x:c r="C6" s="25" t="str">
        <x:v>Versi</x:v>
      </x:c>
      <x:c r="D6" s="25" t="str">
        <x:v>Tanggal</x:v>
      </x:c>
      <x:c r="E6" s="25" t="str">
        <x:v>Pengunggah</x:v>
      </x:c>
      <x:c r="F6" s="25" t="str">
        <x:v>Akses</x:v>
      </x:c>
      <x:c r="G6" s="25" t="str">
        <x:v>Status</x:v>
      </x:c>
      <x:c r="H6" s="25" t="str">
        <x:v>Aksi</x:v>
      </x:c>
    </x:row>
    <x:row r="7" ht="56" customHeight="1">
      <x:c r="A7" s="8" t="str">
        <x:v>Invoice contoh</x:v>
      </x:c>
      <x:c r="B7" s="8" t="str">
        <x:v>Invoice</x:v>
      </x:c>
      <x:c r="C7" s="8" t="str">
        <x:v>v1</x:v>
      </x:c>
      <x:c r="D7" s="8" t="str">
        <x:v>Tanggal sumber</x:v>
      </x:c>
      <x:c r="E7" s="8" t="str">
        <x:v>Petugas AP</x:v>
      </x:c>
      <x:c r="F7" s="8" t="str">
        <x:v>Reviewer terkait</x:v>
      </x:c>
      <x:c r="G7" s="8" t="str">
        <x:v>Tersedia</x:v>
      </x:c>
      <x:c r="H7" s="8" t="str">
        <x:v>Pratinjau</x:v>
      </x:c>
    </x:row>
    <x:row r="8" ht="56" customHeight="1">
      <x:c r="A8" s="8" t="str">
        <x:v>Bukti bayar</x:v>
      </x:c>
      <x:c r="B8" s="8" t="str">
        <x:v>Pembayaran</x:v>
      </x:c>
      <x:c r="C8" s="8"/>
      <x:c r="D8" s="8"/>
      <x:c r="E8" s="8"/>
      <x:c r="F8" s="8" t="str">
        <x:v>Treasury</x:v>
      </x:c>
      <x:c r="G8" s="8" t="str">
        <x:v>Belum ada</x:v>
      </x:c>
      <x:c r="H8" s="8" t="str">
        <x:v>Buka payment</x:v>
      </x:c>
    </x:row>
    <x:row r="10" ht="36" customHeight="1">
      <x:c r="A10" s="15" t="str">
        <x:v>Field dapat diedit</x:v>
      </x:c>
      <x:c r="B10" s="14" t="str">
        <x:v>Unggah/ganti/hapus hanya lampiran draf berizin. Bukti pembayaran berasal dari payment yang sama.</x:v>
      </x:c>
      <x:c r="C10" s="14"/>
      <x:c r="D10" s="14"/>
      <x:c r="E10" s="14"/>
      <x:c r="F10" s="14"/>
      <x:c r="G10" s="14"/>
      <x:c r="H10" s="14"/>
    </x:row>
    <x:row r="11" ht="36" customHeight="1">
      <x:c r="A11" s="15" t="str">
        <x:v>Tombol baris</x:v>
      </x:c>
      <x:c r="B11" s="14" t="str">
        <x:v>Unggah; pratinjau; unduh sesuai hak; tambah versi.</x:v>
      </x:c>
      <x:c r="C11" s="14"/>
      <x:c r="D11" s="14"/>
      <x:c r="E11" s="14"/>
      <x:c r="F11" s="14"/>
      <x:c r="G11" s="14"/>
      <x:c r="H11" s="14"/>
    </x:row>
    <x:row r="12" ht="36" customHeight="1">
      <x:c r="A12" s="15" t="str">
        <x:v>Validasi</x:v>
      </x:c>
      <x:c r="B12" s="14" t="str">
        <x:v>Jenis/ukuran menurut konfigurasi; tampilkan progres/gagal unggah; dokumen wajib sesuai transaksi.</x:v>
      </x:c>
      <x:c r="C12" s="14"/>
      <x:c r="D12" s="14"/>
      <x:c r="E12" s="14"/>
      <x:c r="F12" s="14"/>
      <x:c r="G12" s="14"/>
      <x:c r="H12" s="14"/>
    </x:row>
    <x:row r="13" ht="36" customHeight="1">
      <x:c r="A13" s="15" t="str">
        <x:v>Sesudah submit</x:v>
      </x:c>
      <x:c r="B13" s="14" t="str">
        <x:v>Lampiran versi submitted/posted tidak dihapus diam-diam; revisi menambah versi.</x:v>
      </x:c>
      <x:c r="C13" s="14"/>
      <x:c r="D13" s="14"/>
      <x:c r="E13" s="14"/>
      <x:c r="F13" s="14"/>
      <x:c r="G13" s="14"/>
      <x:c r="H13" s="14"/>
    </x:row>
    <x:row r="16" ht="28" customHeight="1">
      <x:c r="A16" s="27" t="str">
        <x:v>S02 Keputusan dan riwayat</x:v>
      </x:c>
      <x:c r="B16" s="27" t="str">
        <x:v>S02 Keputusan dan riwayat</x:v>
      </x:c>
      <x:c r="C16" s="27" t="str">
        <x:v>S02 Keputusan dan riwayat</x:v>
      </x:c>
      <x:c r="D16" s="27" t="str">
        <x:v>S02 Keputusan dan riwayat</x:v>
      </x:c>
      <x:c r="E16" s="27" t="str">
        <x:v>S02 Keputusan dan riwayat</x:v>
      </x:c>
      <x:c r="F16" s="27" t="str">
        <x:v>S02 Keputusan dan riwayat</x:v>
      </x:c>
      <x:c r="G16" s="27" t="str">
        <x:v>S02 Keputusan dan riwayat</x:v>
      </x:c>
      <x:c r="H16" s="27" t="str">
        <x:v>S02 Keputusan dan riwayat</x:v>
      </x:c>
    </x:row>
    <x:row r="17" ht="38" customHeight="1">
      <x:c r="A17" s="25" t="str">
        <x:v>Tahap</x:v>
      </x:c>
      <x:c r="B17" s="25" t="str">
        <x:v>Versi</x:v>
      </x:c>
      <x:c r="C17" s="25" t="str">
        <x:v>Pelaku</x:v>
      </x:c>
      <x:c r="D17" s="25" t="str">
        <x:v>Keputusan</x:v>
      </x:c>
      <x:c r="E17" s="25" t="str">
        <x:v>Waktu</x:v>
      </x:c>
      <x:c r="F17" s="25" t="str">
        <x:v>Alasan</x:v>
      </x:c>
      <x:c r="G17" s="25" t="str">
        <x:v>Sumber</x:v>
      </x:c>
      <x:c r="H17" s="25" t="str">
        <x:v>Aksi</x:v>
      </x:c>
    </x:row>
    <x:row r="18" ht="56" customHeight="1">
      <x:c r="A18" s="8" t="str">
        <x:v>Review</x:v>
      </x:c>
      <x:c r="B18" s="8" t="str">
        <x:v>v1</x:v>
      </x:c>
      <x:c r="C18" s="8" t="str">
        <x:v>Reviewer</x:v>
      </x:c>
      <x:c r="D18" s="8" t="str">
        <x:v>Dikembalikan</x:v>
      </x:c>
      <x:c r="E18" s="8" t="str">
        <x:v>Waktu keputusan</x:v>
      </x:c>
      <x:c r="F18" s="8" t="str">
        <x:v>Perbaiki kategori</x:v>
      </x:c>
      <x:c r="G18" s="8" t="str">
        <x:v>BILL-001</x:v>
      </x:c>
      <x:c r="H18" s="8" t="str">
        <x:v>Buka versi</x:v>
      </x:c>
    </x:row>
    <x:row r="19" ht="56" customHeight="1">
      <x:c r="A19" s="8" t="str">
        <x:v>Review ulang</x:v>
      </x:c>
      <x:c r="B19" s="8" t="str">
        <x:v>v2</x:v>
      </x:c>
      <x:c r="C19" s="8" t="str">
        <x:v>Reviewer</x:v>
      </x:c>
      <x:c r="D19" s="8" t="str">
        <x:v>Menunggu</x:v>
      </x:c>
      <x:c r="E19" s="8"/>
      <x:c r="F19" s="8"/>
      <x:c r="G19" s="8" t="str">
        <x:v>BILL-001</x:v>
      </x:c>
      <x:c r="H19" s="8" t="str">
        <x:v>Bandingkan</x:v>
      </x:c>
    </x:row>
    <x:row r="21" ht="36" customHeight="1">
      <x:c r="A21" s="15" t="str">
        <x:v>Field dapat diedit</x:v>
      </x:c>
      <x:c r="B21" s="14" t="str">
        <x:v>Baca saja. Keputusan hanya melalui tombol/F01 berizin.</x:v>
      </x:c>
      <x:c r="C21" s="14"/>
      <x:c r="D21" s="14"/>
      <x:c r="E21" s="14"/>
      <x:c r="F21" s="14"/>
      <x:c r="G21" s="14"/>
      <x:c r="H21" s="14"/>
    </x:row>
    <x:row r="22" ht="36" customHeight="1">
      <x:c r="A22" s="15" t="str">
        <x:v>Tombol baris</x:v>
      </x:c>
      <x:c r="B22" s="14" t="str">
        <x:v>Buka versi; bandingkan; buka keputusan.</x:v>
      </x:c>
      <x:c r="C22" s="14"/>
      <x:c r="D22" s="14"/>
      <x:c r="E22" s="14"/>
      <x:c r="F22" s="14"/>
      <x:c r="G22" s="14"/>
      <x:c r="H22" s="14"/>
    </x:row>
    <x:row r="23" ht="36" customHeight="1">
      <x:c r="A23" s="15" t="str">
        <x:v>Validasi</x:v>
      </x:c>
      <x:c r="B23" s="14" t="str">
        <x:v>Versi, orang, waktu dan hasil tidak dapat diedit sebagai sel.</x:v>
      </x:c>
      <x:c r="C23" s="14"/>
      <x:c r="D23" s="14"/>
      <x:c r="E23" s="14"/>
      <x:c r="F23" s="14"/>
      <x:c r="G23" s="14"/>
      <x:c r="H23" s="14"/>
    </x:row>
    <x:row r="24" ht="36" customHeight="1">
      <x:c r="A24" s="15" t="str">
        <x:v>Sesudah submit</x:v>
      </x:c>
      <x:c r="B24" s="14" t="str">
        <x:v>Riwayat dipertahankan; keputusan versi lama tidak otomatis berlaku untuk revisi material.</x:v>
      </x:c>
      <x:c r="C24" s="14"/>
      <x:c r="D24" s="14"/>
      <x:c r="E24" s="14"/>
      <x:c r="F24" s="14"/>
      <x:c r="G24" s="14"/>
      <x:c r="H24" s="14"/>
    </x:row>
    <x:row r="27" ht="28" customHeight="1">
      <x:c r="A27" s="27" t="str">
        <x:v>S03 Alokasi pembayaran / penerimaan</x:v>
      </x:c>
      <x:c r="B27" s="27" t="str">
        <x:v>S03 Alokasi pembayaran / penerimaan</x:v>
      </x:c>
      <x:c r="C27" s="27" t="str">
        <x:v>S03 Alokasi pembayaran / penerimaan</x:v>
      </x:c>
      <x:c r="D27" s="27" t="str">
        <x:v>S03 Alokasi pembayaran / penerimaan</x:v>
      </x:c>
      <x:c r="E27" s="27" t="str">
        <x:v>S03 Alokasi pembayaran / penerimaan</x:v>
      </x:c>
      <x:c r="F27" s="27" t="str">
        <x:v>S03 Alokasi pembayaran / penerimaan</x:v>
      </x:c>
      <x:c r="G27" s="27" t="str">
        <x:v>S03 Alokasi pembayaran / penerimaan</x:v>
      </x:c>
      <x:c r="H27" s="27" t="str">
        <x:v>S03 Alokasi pembayaran / penerimaan</x:v>
      </x:c>
    </x:row>
    <x:row r="28" ht="38" customHeight="1">
      <x:c r="A28" s="25" t="str">
        <x:v>Dokumen</x:v>
      </x:c>
      <x:c r="B28" s="25" t="str">
        <x:v>Pihak</x:v>
      </x:c>
      <x:c r="C28" s="25" t="str">
        <x:v>Jenis saldo</x:v>
      </x:c>
      <x:c r="D28" s="25" t="str">
        <x:v>Nilai sumber Rp</x:v>
      </x:c>
      <x:c r="E28" s="25" t="str">
        <x:v>Sisa Rp</x:v>
      </x:c>
      <x:c r="F28" s="25" t="str">
        <x:v>Alokasi Rp</x:v>
      </x:c>
      <x:c r="G28" s="25" t="str">
        <x:v>Sisa sesudah Rp</x:v>
      </x:c>
      <x:c r="H28" s="25" t="str">
        <x:v>Aksi</x:v>
      </x:c>
    </x:row>
    <x:row r="29" ht="56" customHeight="1">
      <x:c r="A29" s="8" t="str">
        <x:v>BILL-101</x:v>
      </x:c>
      <x:c r="B29" s="8" t="str">
        <x:v>Vendor A</x:v>
      </x:c>
      <x:c r="C29" s="8" t="str">
        <x:v>Utang vendor</x:v>
      </x:c>
      <x:c r="D29" s="18" t="n">
        <x:v>3000000</x:v>
      </x:c>
      <x:c r="E29" s="18" t="n">
        <x:v>3000000</x:v>
      </x:c>
      <x:c r="F29" s="28" t="n">
        <x:v>2000000</x:v>
      </x:c>
      <x:c r="G29" s="18" t="n">
        <x:f>E29-F29</x:f>
        <x:v>1000000</x:v>
      </x:c>
      <x:c r="H29" s="8" t="str">
        <x:v>Ubah alokasi</x:v>
      </x:c>
    </x:row>
    <x:row r="30" ht="56" customHeight="1">
      <x:c r="A30" s="8" t="str">
        <x:v>BILL-102</x:v>
      </x:c>
      <x:c r="B30" s="8" t="str">
        <x:v>Vendor A</x:v>
      </x:c>
      <x:c r="C30" s="8" t="str">
        <x:v>Utang vendor</x:v>
      </x:c>
      <x:c r="D30" s="18" t="n">
        <x:v>2000000</x:v>
      </x:c>
      <x:c r="E30" s="18" t="n">
        <x:v>2000000</x:v>
      </x:c>
      <x:c r="F30" s="28" t="n">
        <x:v>1000000</x:v>
      </x:c>
      <x:c r="G30" s="18" t="n">
        <x:f>E30-F30</x:f>
        <x:v>1000000</x:v>
      </x:c>
      <x:c r="H30" s="8" t="str">
        <x:v>Hapus draf</x:v>
      </x:c>
    </x:row>
    <x:row r="32" ht="36" customHeight="1">
      <x:c r="A32" s="15" t="str">
        <x:v>Field dapat diedit</x:v>
      </x:c>
      <x:c r="B32" s="14" t="str">
        <x:v>Pilih dokumen dan nominal alokasi saat draf; nominal sumber/sisa baca saja.</x:v>
      </x:c>
      <x:c r="C32" s="14"/>
      <x:c r="D32" s="14"/>
      <x:c r="E32" s="14"/>
      <x:c r="F32" s="14"/>
      <x:c r="G32" s="14"/>
      <x:c r="H32" s="14"/>
    </x:row>
    <x:row r="33" ht="36" customHeight="1">
      <x:c r="A33" s="15" t="str">
        <x:v>Tombol baris</x:v>
      </x:c>
      <x:c r="B33" s="14" t="str">
        <x:v>Tambah sumber; ubah alokasi; hapus baris draf.</x:v>
      </x:c>
      <x:c r="C33" s="14"/>
      <x:c r="D33" s="14"/>
      <x:c r="E33" s="14"/>
      <x:c r="F33" s="14"/>
      <x:c r="G33" s="14"/>
      <x:c r="H33" s="14"/>
    </x:row>
    <x:row r="34" ht="36" customHeight="1">
      <x:c r="A34" s="15" t="str">
        <x:v>Validasi</x:v>
      </x:c>
      <x:c r="B34" s="14" t="str">
        <x:v>Alokasi tidak melebihi sisa; total alokasi sesuai payment/receipt; pihak, unit, mata uang dan jenis kompatibel.</x:v>
      </x:c>
      <x:c r="C34" s="14"/>
      <x:c r="D34" s="14"/>
      <x:c r="E34" s="14"/>
      <x:c r="F34" s="14"/>
      <x:c r="G34" s="14"/>
      <x:c r="H34" s="14"/>
    </x:row>
    <x:row r="35" ht="36" customHeight="1">
      <x:c r="A35" s="15" t="str">
        <x:v>Sesudah submit</x:v>
      </x:c>
      <x:c r="B35" s="14" t="str">
        <x:v>Alokasi dieksekusi tidak diubah langsung; koreksi mengikuti payment dan dokumen asal.</x:v>
      </x:c>
      <x:c r="C35" s="14"/>
      <x:c r="D35" s="14"/>
      <x:c r="E35" s="14"/>
      <x:c r="F35" s="14"/>
      <x:c r="G35" s="14"/>
      <x:c r="H35" s="14"/>
    </x:row>
    <x:row r="38" ht="28" customHeight="1">
      <x:c r="A38" s="27" t="str">
        <x:v>S04 Mutasi rekening / instrumen</x:v>
      </x:c>
      <x:c r="B38" s="27" t="str">
        <x:v>S04 Mutasi rekening / instrumen</x:v>
      </x:c>
      <x:c r="C38" s="27" t="str">
        <x:v>S04 Mutasi rekening / instrumen</x:v>
      </x:c>
      <x:c r="D38" s="27" t="str">
        <x:v>S04 Mutasi rekening / instrumen</x:v>
      </x:c>
      <x:c r="E38" s="27" t="str">
        <x:v>S04 Mutasi rekening / instrumen</x:v>
      </x:c>
      <x:c r="F38" s="27" t="str">
        <x:v>S04 Mutasi rekening / instrumen</x:v>
      </x:c>
      <x:c r="G38" s="27" t="str">
        <x:v>S04 Mutasi rekening / instrumen</x:v>
      </x:c>
      <x:c r="H38" s="27" t="str">
        <x:v>S04 Mutasi rekening / instrumen</x:v>
      </x:c>
    </x:row>
    <x:row r="39" ht="38" customHeight="1">
      <x:c r="A39" s="25" t="str">
        <x:v>Tanggal</x:v>
      </x:c>
      <x:c r="B39" s="25" t="str">
        <x:v>Referensi</x:v>
      </x:c>
      <x:c r="C39" s="25" t="str">
        <x:v>Jenis</x:v>
      </x:c>
      <x:c r="D39" s="25" t="str">
        <x:v>Masuk Rp</x:v>
      </x:c>
      <x:c r="E39" s="25" t="str">
        <x:v>Keluar Rp</x:v>
      </x:c>
      <x:c r="F39" s="25" t="str">
        <x:v>Saldo Rp</x:v>
      </x:c>
      <x:c r="G39" s="25" t="str">
        <x:v>Status</x:v>
      </x:c>
      <x:c r="H39" s="25" t="str">
        <x:v>Aksi</x:v>
      </x:c>
    </x:row>
    <x:row r="40" ht="56" customHeight="1">
      <x:c r="A40" s="8" t="str">
        <x:v>Tanggal transaksi</x:v>
      </x:c>
      <x:c r="B40" s="8" t="str">
        <x:v>PAY-001</x:v>
      </x:c>
      <x:c r="C40" s="8" t="str">
        <x:v>Bayar tagihan</x:v>
      </x:c>
      <x:c r="D40" s="18" t="n">
        <x:v>0</x:v>
      </x:c>
      <x:c r="E40" s="18" t="n">
        <x:v>5000000</x:v>
      </x:c>
      <x:c r="F40" s="18" t="n">
        <x:v>25000000</x:v>
      </x:c>
      <x:c r="G40" s="8" t="str">
        <x:v>Tercatat</x:v>
      </x:c>
      <x:c r="H40" s="8" t="str">
        <x:v>Buka payment</x:v>
      </x:c>
    </x:row>
    <x:row r="42" ht="36" customHeight="1">
      <x:c r="A42" s="15" t="str">
        <x:v>Field dapat diedit</x:v>
      </x:c>
      <x:c r="B42" s="14" t="str">
        <x:v>Baca saja. Saldo dan mutasi berasal dari ledger/payment.</x:v>
      </x:c>
      <x:c r="C42" s="14"/>
      <x:c r="D42" s="14"/>
      <x:c r="E42" s="14"/>
      <x:c r="F42" s="14"/>
      <x:c r="G42" s="14"/>
      <x:c r="H42" s="14"/>
    </x:row>
    <x:row r="43" ht="36" customHeight="1">
      <x:c r="A43" s="15" t="str">
        <x:v>Tombol baris</x:v>
      </x:c>
      <x:c r="B43" s="14" t="str">
        <x:v>Buka sumber; filter; telusuri giro/bank.</x:v>
      </x:c>
      <x:c r="C43" s="14"/>
      <x:c r="D43" s="14"/>
      <x:c r="E43" s="14"/>
      <x:c r="F43" s="14"/>
      <x:c r="G43" s="14"/>
      <x:c r="H43" s="14"/>
    </x:row>
    <x:row r="44" ht="36" customHeight="1">
      <x:c r="A44" s="15" t="str">
        <x:v>Validasi</x:v>
      </x:c>
      <x:c r="B44" s="14" t="str">
        <x:v>Tanggal posisi, rekening dan unit harus jelas. Tidak menampilkan registered bank sebagai siap pakai tanpa pemetaan.</x:v>
      </x:c>
      <x:c r="C44" s="14"/>
      <x:c r="D44" s="14"/>
      <x:c r="E44" s="14"/>
      <x:c r="F44" s="14"/>
      <x:c r="G44" s="14"/>
      <x:c r="H44" s="14"/>
    </x:row>
    <x:row r="45" ht="36" customHeight="1">
      <x:c r="A45" s="15" t="str">
        <x:v>Sesudah submit</x:v>
      </x:c>
      <x:c r="B45" s="14" t="str">
        <x:v>Koreksi dari sumber; tidak edit saldo bank/kas manual untuk membuat cocok.</x:v>
      </x:c>
      <x:c r="C45" s="14"/>
      <x:c r="D45" s="14"/>
      <x:c r="E45" s="14"/>
      <x:c r="F45" s="14"/>
      <x:c r="G45" s="14"/>
      <x:c r="H45" s="14"/>
    </x:row>
    <x:row r="48" ht="28" customHeight="1">
      <x:c r="A48" s="27" t="str">
        <x:v>S05 Pasangan rekonsiliasi bank</x:v>
      </x:c>
      <x:c r="B48" s="27" t="str">
        <x:v>S05 Pasangan rekonsiliasi bank</x:v>
      </x:c>
      <x:c r="C48" s="27" t="str">
        <x:v>S05 Pasangan rekonsiliasi bank</x:v>
      </x:c>
      <x:c r="D48" s="27" t="str">
        <x:v>S05 Pasangan rekonsiliasi bank</x:v>
      </x:c>
      <x:c r="E48" s="27" t="str">
        <x:v>S05 Pasangan rekonsiliasi bank</x:v>
      </x:c>
      <x:c r="F48" s="27" t="str">
        <x:v>S05 Pasangan rekonsiliasi bank</x:v>
      </x:c>
      <x:c r="G48" s="27" t="str">
        <x:v>S05 Pasangan rekonsiliasi bank</x:v>
      </x:c>
      <x:c r="H48" s="27" t="str">
        <x:v>S05 Pasangan rekonsiliasi bank</x:v>
      </x:c>
    </x:row>
    <x:row r="49" ht="38" customHeight="1">
      <x:c r="A49" s="25" t="str">
        <x:v>Baris bank</x:v>
      </x:c>
      <x:c r="B49" s="25" t="str">
        <x:v>Nilai bank Rp</x:v>
      </x:c>
      <x:c r="C49" s="25" t="str">
        <x:v>Dokumen buku</x:v>
      </x:c>
      <x:c r="D49" s="25" t="str">
        <x:v>Nilai buku Rp</x:v>
      </x:c>
      <x:c r="E49" s="25" t="str">
        <x:v>Alokasi Rp</x:v>
      </x:c>
      <x:c r="F49" s="25" t="str">
        <x:v>Sisa bank Rp</x:v>
      </x:c>
      <x:c r="G49" s="25" t="str">
        <x:v>Status</x:v>
      </x:c>
      <x:c r="H49" s="25" t="str">
        <x:v>Aksi</x:v>
      </x:c>
    </x:row>
    <x:row r="50" ht="56" customHeight="1">
      <x:c r="A50" s="8" t="str">
        <x:v>BNK-001</x:v>
      </x:c>
      <x:c r="B50" s="18" t="n">
        <x:v>-5000000</x:v>
      </x:c>
      <x:c r="C50" s="8" t="str">
        <x:v>PAY-001</x:v>
      </x:c>
      <x:c r="D50" s="18" t="n">
        <x:v>-5000000</x:v>
      </x:c>
      <x:c r="E50" s="18" t="n">
        <x:v>5000000</x:v>
      </x:c>
      <x:c r="F50" s="18" t="n">
        <x:v>0</x:v>
      </x:c>
      <x:c r="G50" s="8" t="str">
        <x:v>Cocok</x:v>
      </x:c>
      <x:c r="H50" s="8" t="str">
        <x:v>Buka pasangan</x:v>
      </x:c>
    </x:row>
    <x:row r="51" ht="56" customHeight="1">
      <x:c r="A51" s="8" t="str">
        <x:v>BNK-002</x:v>
      </x:c>
      <x:c r="B51" s="18" t="n">
        <x:v>-15000</x:v>
      </x:c>
      <x:c r="C51" s="8"/>
      <x:c r="D51" s="18"/>
      <x:c r="E51" s="18" t="n">
        <x:v>0</x:v>
      </x:c>
      <x:c r="F51" s="18" t="n">
        <x:v>15000</x:v>
      </x:c>
      <x:c r="G51" s="8" t="str">
        <x:v>Belum cocok</x:v>
      </x:c>
      <x:c r="H51" s="8" t="str">
        <x:v>Tinjau</x:v>
      </x:c>
    </x:row>
    <x:row r="53" ht="36" customHeight="1">
      <x:c r="A53" s="15" t="str">
        <x:v>Field dapat diedit</x:v>
      </x:c>
      <x:c r="B53" s="14" t="str">
        <x:v>Pilih pasangan dan alokasi dari sisa; mutasi asli dan nilai buku baca saja.</x:v>
      </x:c>
      <x:c r="C53" s="14"/>
      <x:c r="D53" s="14"/>
      <x:c r="E53" s="14"/>
      <x:c r="F53" s="14"/>
      <x:c r="G53" s="14"/>
      <x:c r="H53" s="14"/>
    </x:row>
    <x:row r="54" ht="36" customHeight="1">
      <x:c r="A54" s="15" t="str">
        <x:v>Tombol baris</x:v>
      </x:c>
      <x:c r="B54" s="14" t="str">
        <x:v>Cocokkan; lepas pasangan dengan alasan; buat transaksi sah dari baris bank.</x:v>
      </x:c>
      <x:c r="C54" s="14"/>
      <x:c r="D54" s="14"/>
      <x:c r="E54" s="14"/>
      <x:c r="F54" s="14"/>
      <x:c r="G54" s="14"/>
      <x:c r="H54" s="14"/>
    </x:row>
    <x:row r="55" ht="36" customHeight="1">
      <x:c r="A55" s="15" t="str">
        <x:v>Validasi</x:v>
      </x:c>
      <x:c r="B55" s="14" t="str">
        <x:v>Arah/rekening benar; tanda nilai bank tetap; alokasi absolut tidak melampaui sisa; satu baris tidak digunakan ganda.</x:v>
      </x:c>
      <x:c r="C55" s="14"/>
      <x:c r="D55" s="14"/>
      <x:c r="E55" s="14"/>
      <x:c r="F55" s="14"/>
      <x:c r="G55" s="14"/>
      <x:c r="H55" s="14"/>
    </x:row>
    <x:row r="56" ht="36" customHeight="1">
      <x:c r="A56" s="15" t="str">
        <x:v>Sesudah submit</x:v>
      </x:c>
      <x:c r="B56" s="14" t="str">
        <x:v>Pasangan boleh dikoreksi sesuai mandat; jurnal tidak dihapus ketika pasangan dilepas.</x:v>
      </x:c>
      <x:c r="C56" s="14"/>
      <x:c r="D56" s="14"/>
      <x:c r="E56" s="14"/>
      <x:c r="F56" s="14"/>
      <x:c r="G56" s="14"/>
      <x:c r="H56" s="14"/>
    </x:row>
    <x:row r="59" ht="28" customHeight="1">
      <x:c r="A59" s="27" t="str">
        <x:v>S06 Rincian tagihan / biaya / invoice</x:v>
      </x:c>
      <x:c r="B59" s="27" t="str">
        <x:v>S06 Rincian tagihan / biaya / invoice</x:v>
      </x:c>
      <x:c r="C59" s="27" t="str">
        <x:v>S06 Rincian tagihan / biaya / invoice</x:v>
      </x:c>
      <x:c r="D59" s="27" t="str">
        <x:v>S06 Rincian tagihan / biaya / invoice</x:v>
      </x:c>
      <x:c r="E59" s="27" t="str">
        <x:v>S06 Rincian tagihan / biaya / invoice</x:v>
      </x:c>
      <x:c r="F59" s="27" t="str">
        <x:v>S06 Rincian tagihan / biaya / invoice</x:v>
      </x:c>
      <x:c r="G59" s="27" t="str">
        <x:v>S06 Rincian tagihan / biaya / invoice</x:v>
      </x:c>
      <x:c r="H59" s="27" t="str">
        <x:v>S06 Rincian tagihan / biaya / invoice</x:v>
      </x:c>
    </x:row>
    <x:row r="60" ht="38" customHeight="1">
      <x:c r="A60" s="25" t="str">
        <x:v>Uraian</x:v>
      </x:c>
      <x:c r="B60" s="25" t="str">
        <x:v>Kategori</x:v>
      </x:c>
      <x:c r="C60" s="25" t="str">
        <x:v>Qty</x:v>
      </x:c>
      <x:c r="D60" s="25" t="str">
        <x:v>Harga Rp</x:v>
      </x:c>
      <x:c r="E60" s="25" t="str">
        <x:v>Potongan Rp</x:v>
      </x:c>
      <x:c r="F60" s="25" t="str">
        <x:v>Neto Rp</x:v>
      </x:c>
      <x:c r="G60" s="25" t="str">
        <x:v>Unit biaya</x:v>
      </x:c>
      <x:c r="H60" s="25" t="str">
        <x:v>Aksi</x:v>
      </x:c>
    </x:row>
    <x:row r="61" ht="56" customHeight="1">
      <x:c r="A61" s="8" t="str">
        <x:v>Jasa pemeliharaan</x:v>
      </x:c>
      <x:c r="B61" s="8" t="str">
        <x:v>Pemeliharaan</x:v>
      </x:c>
      <x:c r="C61" s="29" t="n">
        <x:v>2</x:v>
      </x:c>
      <x:c r="D61" s="28" t="n">
        <x:v>1000000</x:v>
      </x:c>
      <x:c r="E61" s="28" t="n">
        <x:v>0</x:v>
      </x:c>
      <x:c r="F61" s="18" t="n">
        <x:f>C61*D61-E61</x:f>
        <x:v>2000000</x:v>
      </x:c>
      <x:c r="G61" s="8" t="str">
        <x:v>HO</x:v>
      </x:c>
      <x:c r="H61" s="8" t="str">
        <x:v>Ubah</x:v>
      </x:c>
    </x:row>
    <x:row r="62" ht="56" customHeight="1">
      <x:c r="A62" s="8" t="str">
        <x:v>Bahan operasional</x:v>
      </x:c>
      <x:c r="B62" s="8" t="str">
        <x:v>Biaya operasional</x:v>
      </x:c>
      <x:c r="C62" s="29" t="n">
        <x:v>1</x:v>
      </x:c>
      <x:c r="D62" s="28" t="n">
        <x:v>500000</x:v>
      </x:c>
      <x:c r="E62" s="28" t="n">
        <x:v>0</x:v>
      </x:c>
      <x:c r="F62" s="18" t="n">
        <x:f>C62*D62-E62</x:f>
        <x:v>500000</x:v>
      </x:c>
      <x:c r="G62" s="8" t="str">
        <x:v>HO</x:v>
      </x:c>
      <x:c r="H62" s="8" t="str">
        <x:v>Hapus draf</x:v>
      </x:c>
    </x:row>
    <x:row r="64" ht="36" customHeight="1">
      <x:c r="A64" s="15" t="str">
        <x:v>Field dapat diedit</x:v>
      </x:c>
      <x:c r="B64" s="14" t="str">
        <x:v>Uraian, kategori, qty, harga, potongan dan unit biaya hanya draf/dikembalikan; pajak di S07.</x:v>
      </x:c>
      <x:c r="C64" s="14"/>
      <x:c r="D64" s="14"/>
      <x:c r="E64" s="14"/>
      <x:c r="F64" s="14"/>
      <x:c r="G64" s="14"/>
      <x:c r="H64" s="14"/>
    </x:row>
    <x:row r="65" ht="36" customHeight="1">
      <x:c r="A65" s="15" t="str">
        <x:v>Tombol baris</x:v>
      </x:c>
      <x:c r="B65" s="14" t="str">
        <x:v>Tambah; ubah; hapus baris draf; salin baris dengan review sumber.</x:v>
      </x:c>
      <x:c r="C65" s="14"/>
      <x:c r="D65" s="14"/>
      <x:c r="E65" s="14"/>
      <x:c r="F65" s="14"/>
      <x:c r="G65" s="14"/>
      <x:c r="H65" s="14"/>
    </x:row>
    <x:row r="66" ht="36" customHeight="1">
      <x:c r="A66" s="15" t="str">
        <x:v>Validasi</x:v>
      </x:c>
      <x:c r="B66" s="14" t="str">
        <x:v>Kategori menentukan akun; qty/harga valid; potongan tidak melebihi bruto kecuali dokumen koreksi yang sah; sumber tidak ganda.</x:v>
      </x:c>
      <x:c r="C66" s="14"/>
      <x:c r="D66" s="14"/>
      <x:c r="E66" s="14"/>
      <x:c r="F66" s="14"/>
      <x:c r="G66" s="14"/>
      <x:c r="H66" s="14"/>
    </x:row>
    <x:row r="67" ht="36" customHeight="1">
      <x:c r="A67" s="15" t="str">
        <x:v>Sesudah submit</x:v>
      </x:c>
      <x:c r="B67" s="14" t="str">
        <x:v>Neto/total terhitung. Setelah diajukan terkunci; sesudah posted pakai koreksi sumber.</x:v>
      </x:c>
      <x:c r="C67" s="14"/>
      <x:c r="D67" s="14"/>
      <x:c r="E67" s="14"/>
      <x:c r="F67" s="14"/>
      <x:c r="G67" s="14"/>
      <x:c r="H67" s="14"/>
    </x:row>
    <x:row r="70" ht="28" customHeight="1">
      <x:c r="A70" s="27" t="str">
        <x:v>S07 Rincian pajak / dokumen pajak</x:v>
      </x:c>
      <x:c r="B70" s="27" t="str">
        <x:v>S07 Rincian pajak / dokumen pajak</x:v>
      </x:c>
      <x:c r="C70" s="27" t="str">
        <x:v>S07 Rincian pajak / dokumen pajak</x:v>
      </x:c>
      <x:c r="D70" s="27" t="str">
        <x:v>S07 Rincian pajak / dokumen pajak</x:v>
      </x:c>
      <x:c r="E70" s="27" t="str">
        <x:v>S07 Rincian pajak / dokumen pajak</x:v>
      </x:c>
      <x:c r="F70" s="27" t="str">
        <x:v>S07 Rincian pajak / dokumen pajak</x:v>
      </x:c>
      <x:c r="G70" s="27" t="str">
        <x:v>S07 Rincian pajak / dokumen pajak</x:v>
      </x:c>
      <x:c r="H70" s="27" t="str">
        <x:v>S07 Rincian pajak / dokumen pajak</x:v>
      </x:c>
    </x:row>
    <x:row r="71" ht="38" customHeight="1">
      <x:c r="A71" s="25" t="str">
        <x:v>Sumber</x:v>
      </x:c>
      <x:c r="B71" s="25" t="str">
        <x:v>Jenis pajak</x:v>
      </x:c>
      <x:c r="C71" s="25" t="str">
        <x:v>Masa</x:v>
      </x:c>
      <x:c r="D71" s="25" t="str">
        <x:v>Dasar Rp</x:v>
      </x:c>
      <x:c r="E71" s="25" t="str">
        <x:v>Nilai pajak Rp</x:v>
      </x:c>
      <x:c r="F71" s="25" t="str">
        <x:v>Nomor dokumen</x:v>
      </x:c>
      <x:c r="G71" s="25" t="str">
        <x:v>Status</x:v>
      </x:c>
      <x:c r="H71" s="25" t="str">
        <x:v>Aksi</x:v>
      </x:c>
    </x:row>
    <x:row r="72" ht="56" customHeight="1">
      <x:c r="A72" s="8" t="str">
        <x:v>BILL-001</x:v>
      </x:c>
      <x:c r="B72" s="8" t="str">
        <x:v>Jenis sesuai aturan</x:v>
      </x:c>
      <x:c r="C72" s="8" t="str">
        <x:v>2026-09</x:v>
      </x:c>
      <x:c r="D72" s="18" t="n">
        <x:v>2500000</x:v>
      </x:c>
      <x:c r="E72" s="18"/>
      <x:c r="F72" s="8" t="str">
        <x:v>Belum tersedia</x:v>
      </x:c>
      <x:c r="G72" s="8" t="str">
        <x:v>Perlu validasi</x:v>
      </x:c>
      <x:c r="H72" s="8" t="str">
        <x:v>Buka dokumen</x:v>
      </x:c>
    </x:row>
    <x:row r="74" ht="36" customHeight="1">
      <x:c r="A74" s="15" t="str">
        <x:v>Field dapat diedit</x:v>
      </x:c>
      <x:c r="B74" s="14" t="str">
        <x:v>Jenis, referensi dan data dokumen sesuai mandat; tarif/nilai dari aturan/dokumen sah.</x:v>
      </x:c>
      <x:c r="C74" s="14"/>
      <x:c r="D74" s="14"/>
      <x:c r="E74" s="14"/>
      <x:c r="F74" s="14"/>
      <x:c r="G74" s="14"/>
      <x:c r="H74" s="14"/>
    </x:row>
    <x:row r="75" ht="36" customHeight="1">
      <x:c r="A75" s="15" t="str">
        <x:v>Tombol baris</x:v>
      </x:c>
      <x:c r="B75" s="14" t="str">
        <x:v>Tautkan; cocokkan; buka sumber; usulkan pembetulan.</x:v>
      </x:c>
      <x:c r="C75" s="14"/>
      <x:c r="D75" s="14"/>
      <x:c r="E75" s="14"/>
      <x:c r="F75" s="14"/>
      <x:c r="G75" s="14"/>
      <x:c r="H75" s="14"/>
    </x:row>
    <x:row r="76" ht="36" customHeight="1">
      <x:c r="A76" s="15" t="str">
        <x:v>Validasi</x:v>
      </x:c>
      <x:c r="B76" s="14" t="str">
        <x:v>Jangan mengarang tarif atau mengisi komponen belum dihitung dengan nol; cek nomor/masa/sumber duplikat.</x:v>
      </x:c>
      <x:c r="C76" s="14"/>
      <x:c r="D76" s="14"/>
      <x:c r="E76" s="14"/>
      <x:c r="F76" s="14"/>
      <x:c r="G76" s="14"/>
      <x:c r="H76" s="14"/>
    </x:row>
    <x:row r="77" ht="36" customHeight="1">
      <x:c r="A77" s="15" t="str">
        <x:v>Sesudah submit</x:v>
      </x:c>
      <x:c r="B77" s="14" t="str">
        <x:v>Kewajiban, bayar dan lapor terpisah; pembetulan tertaut versi lama.</x:v>
      </x:c>
      <x:c r="C77" s="14"/>
      <x:c r="D77" s="14"/>
      <x:c r="E77" s="14"/>
      <x:c r="F77" s="14"/>
      <x:c r="G77" s="14"/>
      <x:c r="H77" s="14"/>
    </x:row>
    <x:row r="80" ht="28" customHeight="1">
      <x:c r="A80" s="27" t="str">
        <x:v>S08 Pertanggungjawaban uang muka</x:v>
      </x:c>
      <x:c r="B80" s="27" t="str">
        <x:v>S08 Pertanggungjawaban uang muka</x:v>
      </x:c>
      <x:c r="C80" s="27" t="str">
        <x:v>S08 Pertanggungjawaban uang muka</x:v>
      </x:c>
      <x:c r="D80" s="27" t="str">
        <x:v>S08 Pertanggungjawaban uang muka</x:v>
      </x:c>
      <x:c r="E80" s="27" t="str">
        <x:v>S08 Pertanggungjawaban uang muka</x:v>
      </x:c>
      <x:c r="F80" s="27" t="str">
        <x:v>S08 Pertanggungjawaban uang muka</x:v>
      </x:c>
      <x:c r="G80" s="27" t="str">
        <x:v>S08 Pertanggungjawaban uang muka</x:v>
      </x:c>
      <x:c r="H80" s="27" t="str">
        <x:v>S08 Pertanggungjawaban uang muka</x:v>
      </x:c>
    </x:row>
    <x:row r="81" ht="38" customHeight="1">
      <x:c r="A81" s="25" t="str">
        <x:v>Sumber</x:v>
      </x:c>
      <x:c r="B81" s="25" t="str">
        <x:v>Jenis</x:v>
      </x:c>
      <x:c r="C81" s="25" t="str">
        <x:v>Nilai Rp</x:v>
      </x:c>
      <x:c r="D81" s="25" t="str">
        <x:v>Disetujui Rp</x:v>
      </x:c>
      <x:c r="E81" s="25" t="str">
        <x:v>Pembayaran/penerimaan</x:v>
      </x:c>
      <x:c r="F81" s="25" t="str">
        <x:v>Bukti</x:v>
      </x:c>
      <x:c r="G81" s="25" t="str">
        <x:v>Status</x:v>
      </x:c>
      <x:c r="H81" s="25" t="str">
        <x:v>Aksi</x:v>
      </x:c>
    </x:row>
    <x:row r="82" ht="56" customHeight="1">
      <x:c r="A82" s="8" t="str">
        <x:v>LIQ-001</x:v>
      </x:c>
      <x:c r="B82" s="8" t="str">
        <x:v>Biaya aktual</x:v>
      </x:c>
      <x:c r="C82" s="18" t="n">
        <x:v>1500000</x:v>
      </x:c>
      <x:c r="D82" s="18" t="n">
        <x:v>1500000</x:v>
      </x:c>
      <x:c r="E82" s="8"/>
      <x:c r="F82" s="8" t="str">
        <x:v>Nota</x:v>
      </x:c>
      <x:c r="G82" s="8" t="str">
        <x:v>Disetujui</x:v>
      </x:c>
      <x:c r="H82" s="8" t="str">
        <x:v>Buka biaya</x:v>
      </x:c>
    </x:row>
    <x:row r="83" ht="56" customHeight="1">
      <x:c r="A83" s="8" t="str">
        <x:v>RCPT-ADV-001</x:v>
      </x:c>
      <x:c r="B83" s="8" t="str">
        <x:v>Pengembalian</x:v>
      </x:c>
      <x:c r="C83" s="18" t="n">
        <x:v>500000</x:v>
      </x:c>
      <x:c r="D83" s="18" t="n">
        <x:v>500000</x:v>
      </x:c>
      <x:c r="E83" s="8" t="str">
        <x:v>RCPT-ADV-001</x:v>
      </x:c>
      <x:c r="F83" s="8" t="str">
        <x:v>Bukti bank</x:v>
      </x:c>
      <x:c r="G83" s="8" t="str">
        <x:v>Tercatat</x:v>
      </x:c>
      <x:c r="H83" s="8" t="str">
        <x:v>Buka penerimaan</x:v>
      </x:c>
    </x:row>
    <x:row r="85" ht="36" customHeight="1">
      <x:c r="A85" s="15" t="str">
        <x:v>Field dapat diedit</x:v>
      </x:c>
      <x:c r="B85" s="14" t="str">
        <x:v>Biaya dan bukti di draf LIQ; pengembalian aktual membaca receipt.</x:v>
      </x:c>
      <x:c r="C85" s="14"/>
      <x:c r="D85" s="14"/>
      <x:c r="E85" s="14"/>
      <x:c r="F85" s="14"/>
      <x:c r="G85" s="14"/>
      <x:c r="H85" s="14"/>
    </x:row>
    <x:row r="86" ht="36" customHeight="1">
      <x:c r="A86" s="15" t="str">
        <x:v>Tombol baris</x:v>
      </x:c>
      <x:c r="B86" s="14" t="str">
        <x:v>Tambah biaya; ajukan; tautkan pengembalian; buka sumber.</x:v>
      </x:c>
      <x:c r="C86" s="14"/>
      <x:c r="D86" s="14"/>
      <x:c r="E86" s="14"/>
      <x:c r="F86" s="14"/>
      <x:c r="G86" s="14"/>
      <x:c r="H86" s="14"/>
    </x:row>
    <x:row r="87" ht="36" customHeight="1">
      <x:c r="A87" s="15" t="str">
        <x:v>Validasi</x:v>
      </x:c>
      <x:c r="B87" s="14" t="str">
        <x:v>Biaya aktual sesuai kategori; jangan hitung klaim yang sama dua kali; sisa ADV direkonsiliasi.</x:v>
      </x:c>
      <x:c r="C87" s="14"/>
      <x:c r="D87" s="14"/>
      <x:c r="E87" s="14"/>
      <x:c r="F87" s="14"/>
      <x:c r="G87" s="14"/>
      <x:c r="H87" s="14"/>
    </x:row>
    <x:row r="88" ht="36" customHeight="1">
      <x:c r="A88" s="15" t="str">
        <x:v>Sesudah submit</x:v>
      </x:c>
      <x:c r="B88" s="14" t="str">
        <x:v>Perubahan saldo berasal dari posting/alokasi; tidak tersedia tombol paksa lunas.</x:v>
      </x:c>
      <x:c r="C88" s="14"/>
      <x:c r="D88" s="14"/>
      <x:c r="E88" s="14"/>
      <x:c r="F88" s="14"/>
      <x:c r="G88" s="14"/>
      <x:c r="H88" s="14"/>
    </x:row>
    <x:row r="91" ht="28" customHeight="1">
      <x:c r="A91" s="27" t="str">
        <x:v>S09 Jadwal pengakuan / amortisasi</x:v>
      </x:c>
      <x:c r="B91" s="27" t="str">
        <x:v>S09 Jadwal pengakuan / amortisasi</x:v>
      </x:c>
      <x:c r="C91" s="27" t="str">
        <x:v>S09 Jadwal pengakuan / amortisasi</x:v>
      </x:c>
      <x:c r="D91" s="27" t="str">
        <x:v>S09 Jadwal pengakuan / amortisasi</x:v>
      </x:c>
      <x:c r="E91" s="27" t="str">
        <x:v>S09 Jadwal pengakuan / amortisasi</x:v>
      </x:c>
      <x:c r="F91" s="27" t="str">
        <x:v>S09 Jadwal pengakuan / amortisasi</x:v>
      </x:c>
      <x:c r="G91" s="27" t="str">
        <x:v>S09 Jadwal pengakuan / amortisasi</x:v>
      </x:c>
      <x:c r="H91" s="27" t="str">
        <x:v>S09 Jadwal pengakuan / amortisasi</x:v>
      </x:c>
    </x:row>
    <x:row r="92" ht="38" customHeight="1">
      <x:c r="A92" s="25" t="str">
        <x:v>Periode</x:v>
      </x:c>
      <x:c r="B92" s="25" t="str">
        <x:v>Dasar Rp</x:v>
      </x:c>
      <x:c r="C92" s="25" t="str">
        <x:v>Pengakuan Rp</x:v>
      </x:c>
      <x:c r="D92" s="25" t="str">
        <x:v>Sisa Rp</x:v>
      </x:c>
      <x:c r="E92" s="25" t="str">
        <x:v>Versi</x:v>
      </x:c>
      <x:c r="F92" s="25" t="str">
        <x:v>Jurnal</x:v>
      </x:c>
      <x:c r="G92" s="25" t="str">
        <x:v>Status</x:v>
      </x:c>
      <x:c r="H92" s="25" t="str">
        <x:v>Aksi</x:v>
      </x:c>
    </x:row>
    <x:row r="93" ht="56" customHeight="1">
      <x:c r="A93" s="8" t="str">
        <x:v>2026-09</x:v>
      </x:c>
      <x:c r="B93" s="18" t="n">
        <x:v>12000000</x:v>
      </x:c>
      <x:c r="C93" s="18" t="n">
        <x:v>1000000</x:v>
      </x:c>
      <x:c r="D93" s="18" t="n">
        <x:v>11000000</x:v>
      </x:c>
      <x:c r="E93" s="8" t="str">
        <x:v>v1</x:v>
      </x:c>
      <x:c r="F93" s="8"/>
      <x:c r="G93" s="8" t="str">
        <x:v>Usulan</x:v>
      </x:c>
      <x:c r="H93" s="8" t="str">
        <x:v>Tinjau</x:v>
      </x:c>
    </x:row>
    <x:row r="94" ht="56" customHeight="1">
      <x:c r="A94" s="8" t="str">
        <x:v>2026-10</x:v>
      </x:c>
      <x:c r="B94" s="18" t="n">
        <x:v>11000000</x:v>
      </x:c>
      <x:c r="C94" s="18" t="n">
        <x:v>1000000</x:v>
      </x:c>
      <x:c r="D94" s="18" t="n">
        <x:v>10000000</x:v>
      </x:c>
      <x:c r="E94" s="8" t="str">
        <x:v>v1</x:v>
      </x:c>
      <x:c r="F94" s="8"/>
      <x:c r="G94" s="8" t="str">
        <x:v>Belum jatuh periode</x:v>
      </x:c>
      <x:c r="H94" s="8" t="str">
        <x:v>Buka dasar</x:v>
      </x:c>
    </x:row>
    <x:row r="96" ht="36" customHeight="1">
      <x:c r="A96" s="15" t="str">
        <x:v>Field dapat diedit</x:v>
      </x:c>
      <x:c r="B96" s="14" t="str">
        <x:v>Dasar/metode di form jadwal yang sah; baris terhitung tidak diedit bebas.</x:v>
      </x:c>
      <x:c r="C96" s="14"/>
      <x:c r="D96" s="14"/>
      <x:c r="E96" s="14"/>
      <x:c r="F96" s="14"/>
      <x:c r="G96" s="14"/>
      <x:c r="H96" s="14"/>
    </x:row>
    <x:row r="97" ht="36" customHeight="1">
      <x:c r="A97" s="15" t="str">
        <x:v>Tombol baris</x:v>
      </x:c>
      <x:c r="B97" s="14" t="str">
        <x:v>Pratinjau; review; posting periode; buka jurnal.</x:v>
      </x:c>
      <x:c r="C97" s="14"/>
      <x:c r="D97" s="14"/>
      <x:c r="E97" s="14"/>
      <x:c r="F97" s="14"/>
      <x:c r="G97" s="14"/>
      <x:c r="H97" s="14"/>
    </x:row>
    <x:row r="98" ht="36" customHeight="1">
      <x:c r="A98" s="15" t="str">
        <x:v>Validasi</x:v>
      </x:c>
      <x:c r="B98" s="14" t="str">
        <x:v>Total tidak melebihi dasar; masa manfaat jelas; satu jadwal/periode tidak diposting dua kali.</x:v>
      </x:c>
      <x:c r="C98" s="14"/>
      <x:c r="D98" s="14"/>
      <x:c r="E98" s="14"/>
      <x:c r="F98" s="14"/>
      <x:c r="G98" s="14"/>
      <x:c r="H98" s="14"/>
    </x:row>
    <x:row r="99" ht="36" customHeight="1">
      <x:c r="A99" s="15" t="str">
        <x:v>Sesudah submit</x:v>
      </x:c>
      <x:c r="B99" s="14" t="str">
        <x:v>Posted terkunci; revisi dasar menghasilkan jadwal versi baru dan koreksi yang sah.</x:v>
      </x:c>
      <x:c r="C99" s="14"/>
      <x:c r="D99" s="14"/>
      <x:c r="E99" s="14"/>
      <x:c r="F99" s="14"/>
      <x:c r="G99" s="14"/>
      <x:c r="H99" s="14"/>
    </x:row>
    <x:row r="102" ht="28" customHeight="1">
      <x:c r="A102" s="27" t="str">
        <x:v>S10 Penjualan dan settlement kanal</x:v>
      </x:c>
      <x:c r="B102" s="27" t="str">
        <x:v>S10 Penjualan dan settlement kanal</x:v>
      </x:c>
      <x:c r="C102" s="27" t="str">
        <x:v>S10 Penjualan dan settlement kanal</x:v>
      </x:c>
      <x:c r="D102" s="27" t="str">
        <x:v>S10 Penjualan dan settlement kanal</x:v>
      </x:c>
      <x:c r="E102" s="27" t="str">
        <x:v>S10 Penjualan dan settlement kanal</x:v>
      </x:c>
      <x:c r="F102" s="27" t="str">
        <x:v>S10 Penjualan dan settlement kanal</x:v>
      </x:c>
      <x:c r="G102" s="27" t="str">
        <x:v>S10 Penjualan dan settlement kanal</x:v>
      </x:c>
      <x:c r="H102" s="27" t="str">
        <x:v>S10 Penjualan dan settlement kanal</x:v>
      </x:c>
    </x:row>
    <x:row r="103" ht="38" customHeight="1">
      <x:c r="A103" s="25" t="str">
        <x:v>Transaksi</x:v>
      </x:c>
      <x:c r="B103" s="25" t="str">
        <x:v>Kanal</x:v>
      </x:c>
      <x:c r="C103" s="25" t="str">
        <x:v>Bruto Rp</x:v>
      </x:c>
      <x:c r="D103" s="25" t="str">
        <x:v>Biaya Rp</x:v>
      </x:c>
      <x:c r="E103" s="25" t="str">
        <x:v>Neto Rp</x:v>
      </x:c>
      <x:c r="F103" s="25" t="str">
        <x:v>Diterima Rp</x:v>
      </x:c>
      <x:c r="G103" s="25" t="str">
        <x:v>Selisih Rp</x:v>
      </x:c>
      <x:c r="H103" s="25" t="str">
        <x:v>Aksi</x:v>
      </x:c>
    </x:row>
    <x:row r="104" ht="56" customHeight="1">
      <x:c r="A104" s="8" t="str">
        <x:v>SALE-001</x:v>
      </x:c>
      <x:c r="B104" s="8" t="str">
        <x:v>Acquirer A</x:v>
      </x:c>
      <x:c r="C104" s="18" t="n">
        <x:v>1000000</x:v>
      </x:c>
      <x:c r="D104" s="18" t="n">
        <x:v>30000</x:v>
      </x:c>
      <x:c r="E104" s="18" t="n">
        <x:v>970000</x:v>
      </x:c>
      <x:c r="F104" s="18" t="n">
        <x:v>970000</x:v>
      </x:c>
      <x:c r="G104" s="18" t="n">
        <x:v>0</x:v>
      </x:c>
      <x:c r="H104" s="8" t="str">
        <x:v>Buka sumber</x:v>
      </x:c>
    </x:row>
    <x:row r="106" ht="36" customHeight="1">
      <x:c r="A106" s="15" t="str">
        <x:v>Field dapat diedit</x:v>
      </x:c>
      <x:c r="B106" s="14" t="str">
        <x:v>Pilih sumber dan biaya statement pada draf settlement; bruto penjualan dan receipt aktual baca saja.</x:v>
      </x:c>
      <x:c r="C106" s="14"/>
      <x:c r="D106" s="14"/>
      <x:c r="E106" s="14"/>
      <x:c r="F106" s="14"/>
      <x:c r="G106" s="14"/>
      <x:c r="H106" s="14"/>
    </x:row>
    <x:row r="107" ht="36" customHeight="1">
      <x:c r="A107" s="15" t="str">
        <x:v>Tombol baris</x:v>
      </x:c>
      <x:c r="B107" s="14" t="str">
        <x:v>Pasangkan transaksi; tinjau biaya; tautkan penerimaan.</x:v>
      </x:c>
      <x:c r="C107" s="14"/>
      <x:c r="D107" s="14"/>
      <x:c r="E107" s="14"/>
      <x:c r="F107" s="14"/>
      <x:c r="G107" s="14"/>
      <x:c r="H107" s="14"/>
    </x:row>
    <x:row r="108" ht="36" customHeight="1">
      <x:c r="A108" s="15" t="str">
        <x:v>Validasi</x:v>
      </x:c>
      <x:c r="B108" s="14" t="str">
        <x:v>Bruto − biaya/potongan = neto; jumlah penerimaan harus direkonsiliasi; biaya tidak dibuat ulang sebagai tagihan.</x:v>
      </x:c>
      <x:c r="C108" s="14"/>
      <x:c r="D108" s="14"/>
      <x:c r="E108" s="14"/>
      <x:c r="F108" s="14"/>
      <x:c r="G108" s="14"/>
      <x:c r="H108" s="14"/>
    </x:row>
    <x:row r="109" ht="36" customHeight="1">
      <x:c r="A109" s="15" t="str">
        <x:v>Sesudah submit</x:v>
      </x:c>
      <x:c r="B109" s="14" t="str">
        <x:v>Settlement selesai tidak diubah langsung; koreksi mempertahankan hubungan sumber.</x:v>
      </x:c>
      <x:c r="C109" s="14"/>
      <x:c r="D109" s="14"/>
      <x:c r="E109" s="14"/>
      <x:c r="F109" s="14"/>
      <x:c r="G109" s="14"/>
      <x:c r="H109" s="14"/>
    </x:row>
    <x:row r="112" ht="28" customHeight="1">
      <x:c r="A112" s="27" t="str">
        <x:v>S11 Rincian barang / opname</x:v>
      </x:c>
      <x:c r="B112" s="27" t="str">
        <x:v>S11 Rincian barang / opname</x:v>
      </x:c>
      <x:c r="C112" s="27" t="str">
        <x:v>S11 Rincian barang / opname</x:v>
      </x:c>
      <x:c r="D112" s="27" t="str">
        <x:v>S11 Rincian barang / opname</x:v>
      </x:c>
      <x:c r="E112" s="27" t="str">
        <x:v>S11 Rincian barang / opname</x:v>
      </x:c>
      <x:c r="F112" s="27" t="str">
        <x:v>S11 Rincian barang / opname</x:v>
      </x:c>
      <x:c r="G112" s="27" t="str">
        <x:v>S11 Rincian barang / opname</x:v>
      </x:c>
      <x:c r="H112" s="27" t="str">
        <x:v>S11 Rincian barang / opname</x:v>
      </x:c>
    </x:row>
    <x:row r="113" ht="38" customHeight="1">
      <x:c r="A113" s="25" t="str">
        <x:v>Barang</x:v>
      </x:c>
      <x:c r="B113" s="25" t="str">
        <x:v>Satuan</x:v>
      </x:c>
      <x:c r="C113" s="25" t="str">
        <x:v>Qty sumber</x:v>
      </x:c>
      <x:c r="D113" s="25" t="str">
        <x:v>Qty aktual</x:v>
      </x:c>
      <x:c r="E113" s="25" t="str">
        <x:v>Selisih qty</x:v>
      </x:c>
      <x:c r="F113" s="25" t="str">
        <x:v>Nilai Rp</x:v>
      </x:c>
      <x:c r="G113" s="25" t="str">
        <x:v>Alasan</x:v>
      </x:c>
      <x:c r="H113" s="25" t="str">
        <x:v>Aksi</x:v>
      </x:c>
    </x:row>
    <x:row r="114" ht="56" customHeight="1">
      <x:c r="A114" s="8" t="str">
        <x:v>Bahan A</x:v>
      </x:c>
      <x:c r="B114" s="8" t="str">
        <x:v>kg</x:v>
      </x:c>
      <x:c r="C114" s="8" t="n">
        <x:v>100</x:v>
      </x:c>
      <x:c r="D114" s="8" t="n">
        <x:v>98</x:v>
      </x:c>
      <x:c r="E114" s="8" t="n">
        <x:v>-2</x:v>
      </x:c>
      <x:c r="F114" s="18" t="n">
        <x:v>-100000</x:v>
      </x:c>
      <x:c r="G114" s="8" t="str">
        <x:v>Selisih hitung</x:v>
      </x:c>
      <x:c r="H114" s="8" t="str">
        <x:v>Buka sumber</x:v>
      </x:c>
    </x:row>
    <x:row r="116" ht="36" customHeight="1">
      <x:c r="A116" s="15" t="str">
        <x:v>Field dapat diedit</x:v>
      </x:c>
      <x:c r="B116" s="14" t="str">
        <x:v>Qty aktual dari bukti operasi atau form opname berizin; qty buku/sumber dan selisih terhitung.</x:v>
      </x:c>
      <x:c r="C116" s="14"/>
      <x:c r="D116" s="14"/>
      <x:c r="E116" s="14"/>
      <x:c r="F116" s="14"/>
      <x:c r="G116" s="14"/>
      <x:c r="H116" s="14"/>
    </x:row>
    <x:row r="117" ht="36" customHeight="1">
      <x:c r="A117" s="15" t="str">
        <x:v>Tombol baris</x:v>
      </x:c>
      <x:c r="B117" s="14" t="str">
        <x:v>Buka sumber; verifikasi; ajukan penyesuaian.</x:v>
      </x:c>
      <x:c r="C117" s="14"/>
      <x:c r="D117" s="14"/>
      <x:c r="E117" s="14"/>
      <x:c r="F117" s="14"/>
      <x:c r="G117" s="14"/>
      <x:c r="H117" s="14"/>
    </x:row>
    <x:row r="118" ht="36" customHeight="1">
      <x:c r="A118" s="15" t="str">
        <x:v>Validasi</x:v>
      </x:c>
      <x:c r="B118" s="14" t="str">
        <x:v>Tanggal snapshot dan satuan konsisten; penerimaan parsial tidak melebihi sisa; metode penilaian sah.</x:v>
      </x:c>
      <x:c r="C118" s="14"/>
      <x:c r="D118" s="14"/>
      <x:c r="E118" s="14"/>
      <x:c r="F118" s="14"/>
      <x:c r="G118" s="14"/>
      <x:c r="H118" s="14"/>
    </x:row>
    <x:row r="119" ht="36" customHeight="1">
      <x:c r="A119" s="15" t="str">
        <x:v>Sesudah submit</x:v>
      </x:c>
      <x:c r="B119" s="14" t="str">
        <x:v>Posting hanya dari dokumen disetujui; tidak mengedit saldo stok langsung.</x:v>
      </x:c>
      <x:c r="C119" s="14"/>
      <x:c r="D119" s="14"/>
      <x:c r="E119" s="14"/>
      <x:c r="F119" s="14"/>
      <x:c r="G119" s="14"/>
      <x:c r="H119" s="14"/>
    </x:row>
    <x:row r="122" ht="28" customHeight="1">
      <x:c r="A122" s="27" t="str">
        <x:v>S12 Pasangan dan saldo antarunit</x:v>
      </x:c>
      <x:c r="B122" s="27" t="str">
        <x:v>S12 Pasangan dan saldo antarunit</x:v>
      </x:c>
      <x:c r="C122" s="27" t="str">
        <x:v>S12 Pasangan dan saldo antarunit</x:v>
      </x:c>
      <x:c r="D122" s="27" t="str">
        <x:v>S12 Pasangan dan saldo antarunit</x:v>
      </x:c>
      <x:c r="E122" s="27" t="str">
        <x:v>S12 Pasangan dan saldo antarunit</x:v>
      </x:c>
      <x:c r="F122" s="27" t="str">
        <x:v>S12 Pasangan dan saldo antarunit</x:v>
      </x:c>
      <x:c r="G122" s="27" t="str">
        <x:v>S12 Pasangan dan saldo antarunit</x:v>
      </x:c>
      <x:c r="H122" s="27" t="str">
        <x:v>S12 Pasangan dan saldo antarunit</x:v>
      </x:c>
    </x:row>
    <x:row r="123" ht="38" customHeight="1">
      <x:c r="A123" s="25" t="str">
        <x:v>Sumber</x:v>
      </x:c>
      <x:c r="B123" s="25" t="str">
        <x:v>Unit</x:v>
      </x:c>
      <x:c r="C123" s="25" t="str">
        <x:v>Lawan</x:v>
      </x:c>
      <x:c r="D123" s="25" t="str">
        <x:v>Jenis hubungan</x:v>
      </x:c>
      <x:c r="E123" s="25" t="str">
        <x:v>Saldo unit Rp</x:v>
      </x:c>
      <x:c r="F123" s="25" t="str">
        <x:v>Saldo lawan Rp</x:v>
      </x:c>
      <x:c r="G123" s="25" t="str">
        <x:v>Selisih Rp</x:v>
      </x:c>
      <x:c r="H123" s="25" t="str">
        <x:v>Aksi</x:v>
      </x:c>
    </x:row>
    <x:row r="124" ht="56" customHeight="1">
      <x:c r="A124" s="8" t="str">
        <x:v>FUND-001</x:v>
      </x:c>
      <x:c r="B124" s="8" t="str">
        <x:v>C006</x:v>
      </x:c>
      <x:c r="C124" s="8" t="str">
        <x:v>HO</x:v>
      </x:c>
      <x:c r="D124" s="8" t="str">
        <x:v>Pendanaan</x:v>
      </x:c>
      <x:c r="E124" s="18" t="n">
        <x:v>1000000</x:v>
      </x:c>
      <x:c r="F124" s="18" t="n">
        <x:v>-1000000</x:v>
      </x:c>
      <x:c r="G124" s="18" t="n">
        <x:v>0</x:v>
      </x:c>
      <x:c r="H124" s="8" t="str">
        <x:v>Buka pasangan</x:v>
      </x:c>
    </x:row>
    <x:row r="126" ht="36" customHeight="1">
      <x:c r="A126" s="15" t="str">
        <x:v>Field dapat diedit</x:v>
      </x:c>
      <x:c r="B126" s="14" t="str">
        <x:v>Jenis/sumber pada draf transaksi; saldo dua pihak hasil posting baca saja.</x:v>
      </x:c>
      <x:c r="C126" s="14"/>
      <x:c r="D126" s="14"/>
      <x:c r="E126" s="14"/>
      <x:c r="F126" s="14"/>
      <x:c r="G126" s="14"/>
      <x:c r="H126" s="14"/>
    </x:row>
    <x:row r="127" ht="36" customHeight="1">
      <x:c r="A127" s="15" t="str">
        <x:v>Tombol baris</x:v>
      </x:c>
      <x:c r="B127" s="14" t="str">
        <x:v>Buka sumber; pilih saldo untuk pelunasan; rekonsiliasi.</x:v>
      </x:c>
      <x:c r="C127" s="14"/>
      <x:c r="D127" s="14"/>
      <x:c r="E127" s="14"/>
      <x:c r="F127" s="14"/>
      <x:c r="G127" s="14"/>
      <x:c r="H127" s="14"/>
    </x:row>
    <x:row r="128" ht="36" customHeight="1">
      <x:c r="A128" s="15" t="str">
        <x:v>Validasi</x:v>
      </x:c>
      <x:c r="B128" s="14" t="str">
        <x:v>Pendanaan memakai keluarga pendanaan, barang memakai barang; unit dan pihak lawan benar.</x:v>
      </x:c>
      <x:c r="C128" s="14"/>
      <x:c r="D128" s="14"/>
      <x:c r="E128" s="14"/>
      <x:c r="F128" s="14"/>
      <x:c r="G128" s="14"/>
      <x:c r="H128" s="14"/>
    </x:row>
    <x:row r="129" ht="36" customHeight="1">
      <x:c r="A129" s="15" t="str">
        <x:v>Sesudah submit</x:v>
      </x:c>
      <x:c r="B129" s="14" t="str">
        <x:v>Pelunasan mempertahankan jenis hubungan; tidak mengalihkan ke akun utang barang default.</x:v>
      </x:c>
      <x:c r="C129" s="14"/>
      <x:c r="D129" s="14"/>
      <x:c r="E129" s="14"/>
      <x:c r="F129" s="14"/>
      <x:c r="G129" s="14"/>
      <x:c r="H129" s="14"/>
    </x:row>
    <x:row r="132" ht="28" customHeight="1">
      <x:c r="A132" s="27" t="str">
        <x:v>S13 Selisih rekonsiliasi</x:v>
      </x:c>
      <x:c r="B132" s="27" t="str">
        <x:v>S13 Selisih rekonsiliasi</x:v>
      </x:c>
      <x:c r="C132" s="27" t="str">
        <x:v>S13 Selisih rekonsiliasi</x:v>
      </x:c>
      <x:c r="D132" s="27" t="str">
        <x:v>S13 Selisih rekonsiliasi</x:v>
      </x:c>
      <x:c r="E132" s="27" t="str">
        <x:v>S13 Selisih rekonsiliasi</x:v>
      </x:c>
      <x:c r="F132" s="27" t="str">
        <x:v>S13 Selisih rekonsiliasi</x:v>
      </x:c>
      <x:c r="G132" s="27" t="str">
        <x:v>S13 Selisih rekonsiliasi</x:v>
      </x:c>
      <x:c r="H132" s="27" t="str">
        <x:v>S13 Selisih rekonsiliasi</x:v>
      </x:c>
    </x:row>
    <x:row r="133" ht="38" customHeight="1">
      <x:c r="A133" s="25" t="str">
        <x:v>Kelompok</x:v>
      </x:c>
      <x:c r="B133" s="25" t="str">
        <x:v>GL Rp</x:v>
      </x:c>
      <x:c r="C133" s="25" t="str">
        <x:v>Rincian Rp</x:v>
      </x:c>
      <x:c r="D133" s="25" t="str">
        <x:v>Selisih Rp</x:v>
      </x:c>
      <x:c r="E133" s="25" t="str">
        <x:v>Penyebab</x:v>
      </x:c>
      <x:c r="F133" s="25" t="str">
        <x:v>Owner</x:v>
      </x:c>
      <x:c r="G133" s="25" t="str">
        <x:v>Bukti</x:v>
      </x:c>
      <x:c r="H133" s="25" t="str">
        <x:v>Aksi</x:v>
      </x:c>
    </x:row>
    <x:row r="134" ht="56" customHeight="1">
      <x:c r="A134" s="8" t="str">
        <x:v>Piutang pegawai</x:v>
      </x:c>
      <x:c r="B134" s="18" t="n">
        <x:v>1500000</x:v>
      </x:c>
      <x:c r="C134" s="18" t="n">
        <x:v>1500000</x:v>
      </x:c>
      <x:c r="D134" s="18" t="n">
        <x:v>0</x:v>
      </x:c>
      <x:c r="E134" s="8" t="str">
        <x:v>Cocok</x:v>
      </x:c>
      <x:c r="F134" s="8" t="str">
        <x:v>Finance payroll</x:v>
      </x:c>
      <x:c r="G134" s="8" t="str">
        <x:v>Bukti rekonsiliasi</x:v>
      </x:c>
      <x:c r="H134" s="8" t="str">
        <x:v>Buka sumber</x:v>
      </x:c>
    </x:row>
    <x:row r="136" ht="36" customHeight="1">
      <x:c r="A136" s="15" t="str">
        <x:v>Field dapat diedit</x:v>
      </x:c>
      <x:c r="B136" s="14" t="str">
        <x:v>Penyebab, owner dan bukti; angka saldo/selisih baca saja.</x:v>
      </x:c>
      <x:c r="C136" s="14"/>
      <x:c r="D136" s="14"/>
      <x:c r="E136" s="14"/>
      <x:c r="F136" s="14"/>
      <x:c r="G136" s="14"/>
      <x:c r="H136" s="14"/>
    </x:row>
    <x:row r="137" ht="36" customHeight="1">
      <x:c r="A137" s="15" t="str">
        <x:v>Tombol baris</x:v>
      </x:c>
      <x:c r="B137" s="14" t="str">
        <x:v>Tugaskan; buka sumber; ajukan review; selesaikan jika bukti sah.</x:v>
      </x:c>
      <x:c r="C137" s="14"/>
      <x:c r="D137" s="14"/>
      <x:c r="E137" s="14"/>
      <x:c r="F137" s="14"/>
      <x:c r="G137" s="14"/>
      <x:c r="H137" s="14"/>
    </x:row>
    <x:row r="138" ht="36" customHeight="1">
      <x:c r="A138" s="15" t="str">
        <x:v>Validasi</x:v>
      </x:c>
      <x:c r="B138" s="14" t="str">
        <x:v>Tanggal/unit/versi sama; selisih dihitung, bukan diedit nol.</x:v>
      </x:c>
      <x:c r="C138" s="14"/>
      <x:c r="D138" s="14"/>
      <x:c r="E138" s="14"/>
      <x:c r="F138" s="14"/>
      <x:c r="G138" s="14"/>
      <x:c r="H138" s="14"/>
    </x:row>
    <x:row r="139" ht="36" customHeight="1">
      <x:c r="A139" s="15" t="str">
        <x:v>Sesudah submit</x:v>
      </x:c>
      <x:c r="B139" s="14" t="str">
        <x:v>Hasil review tersimpan dengan sumber; koreksi di dokumen yang salah.</x:v>
      </x:c>
      <x:c r="C139" s="14"/>
      <x:c r="D139" s="14"/>
      <x:c r="E139" s="14"/>
      <x:c r="F139" s="14"/>
      <x:c r="G139" s="14"/>
      <x:c r="H139" s="14"/>
    </x:row>
    <x:row r="142" ht="28" customHeight="1">
      <x:c r="A142" s="27" t="str">
        <x:v>S14 Komponen dan pergerakan aset</x:v>
      </x:c>
      <x:c r="B142" s="27" t="str">
        <x:v>S14 Komponen dan pergerakan aset</x:v>
      </x:c>
      <x:c r="C142" s="27" t="str">
        <x:v>S14 Komponen dan pergerakan aset</x:v>
      </x:c>
      <x:c r="D142" s="27" t="str">
        <x:v>S14 Komponen dan pergerakan aset</x:v>
      </x:c>
      <x:c r="E142" s="27" t="str">
        <x:v>S14 Komponen dan pergerakan aset</x:v>
      </x:c>
      <x:c r="F142" s="27" t="str">
        <x:v>S14 Komponen dan pergerakan aset</x:v>
      </x:c>
      <x:c r="G142" s="27" t="str">
        <x:v>S14 Komponen dan pergerakan aset</x:v>
      </x:c>
      <x:c r="H142" s="27" t="str">
        <x:v>S14 Komponen dan pergerakan aset</x:v>
      </x:c>
    </x:row>
    <x:row r="143" ht="38" customHeight="1">
      <x:c r="A143" s="25" t="str">
        <x:v>Aset</x:v>
      </x:c>
      <x:c r="B143" s="25" t="str">
        <x:v>Kelas</x:v>
      </x:c>
      <x:c r="C143" s="25" t="str">
        <x:v>Sumber biaya</x:v>
      </x:c>
      <x:c r="D143" s="25" t="str">
        <x:v>Perolehan Rp</x:v>
      </x:c>
      <x:c r="E143" s="25" t="str">
        <x:v>Akumulasi Rp</x:v>
      </x:c>
      <x:c r="F143" s="25" t="str">
        <x:v>Nilai buku Rp</x:v>
      </x:c>
      <x:c r="G143" s="25" t="str">
        <x:v>Status</x:v>
      </x:c>
      <x:c r="H143" s="25" t="str">
        <x:v>Aksi</x:v>
      </x:c>
    </x:row>
    <x:row r="144" ht="56" customHeight="1">
      <x:c r="A144" s="8" t="str">
        <x:v>AST-001</x:v>
      </x:c>
      <x:c r="B144" s="8" t="str">
        <x:v>Peralatan</x:v>
      </x:c>
      <x:c r="C144" s="8" t="str">
        <x:v>BILL-AST-001</x:v>
      </x:c>
      <x:c r="D144" s="18" t="n">
        <x:v>24000000</x:v>
      </x:c>
      <x:c r="E144" s="18" t="n">
        <x:v>500000</x:v>
      </x:c>
      <x:c r="F144" s="18" t="n">
        <x:v>23500000</x:v>
      </x:c>
      <x:c r="G144" s="8" t="str">
        <x:v>Aktif</x:v>
      </x:c>
      <x:c r="H144" s="8" t="str">
        <x:v>Buka aset</x:v>
      </x:c>
    </x:row>
    <x:row r="146" ht="36" customHeight="1">
      <x:c r="A146" s="15" t="str">
        <x:v>Field dapat diedit</x:v>
      </x:c>
      <x:c r="B146" s="14" t="str">
        <x:v>Kelas/metode dan alokasi hanya draf kapitalisasi/perubahan berizin; nilai buku baca saja.</x:v>
      </x:c>
      <x:c r="C146" s="14"/>
      <x:c r="D146" s="14"/>
      <x:c r="E146" s="14"/>
      <x:c r="F146" s="14"/>
      <x:c r="G146" s="14"/>
      <x:c r="H146" s="14"/>
    </x:row>
    <x:row r="147" ht="36" customHeight="1">
      <x:c r="A147" s="15" t="str">
        <x:v>Tombol baris</x:v>
      </x:c>
      <x:c r="B147" s="14" t="str">
        <x:v>Buka biaya; ajukan transfer; ajukan pelepasan.</x:v>
      </x:c>
      <x:c r="C147" s="14"/>
      <x:c r="D147" s="14"/>
      <x:c r="E147" s="14"/>
      <x:c r="F147" s="14"/>
      <x:c r="G147" s="14"/>
      <x:c r="H147" s="14"/>
    </x:row>
    <x:row r="148" ht="36" customHeight="1">
      <x:c r="A148" s="15" t="str">
        <x:v>Validasi</x:v>
      </x:c>
      <x:c r="B148" s="14" t="str">
        <x:v>Biaya tidak dialokasikan dua kali; tanggal siap pakai dan kebijakan kelas jelas.</x:v>
      </x:c>
      <x:c r="C148" s="14"/>
      <x:c r="D148" s="14"/>
      <x:c r="E148" s="14"/>
      <x:c r="F148" s="14"/>
      <x:c r="G148" s="14"/>
      <x:c r="H148" s="14"/>
    </x:row>
    <x:row r="149" ht="36" customHeight="1">
      <x:c r="A149" s="15" t="str">
        <x:v>Sesudah submit</x:v>
      </x:c>
      <x:c r="B149" s="14" t="str">
        <x:v>Pelepasan/transfer membuat pergerakan tertaut; tidak mengganti saldo historis.</x:v>
      </x:c>
      <x:c r="C149" s="14"/>
      <x:c r="D149" s="14"/>
      <x:c r="E149" s="14"/>
      <x:c r="F149" s="14"/>
      <x:c r="G149" s="14"/>
      <x:c r="H149" s="14"/>
    </x:row>
    <x:row r="152" ht="28" customHeight="1">
      <x:c r="A152" s="27" t="str">
        <x:v>S15 Alokasi biaya proyek</x:v>
      </x:c>
      <x:c r="B152" s="27" t="str">
        <x:v>S15 Alokasi biaya proyek</x:v>
      </x:c>
      <x:c r="C152" s="27" t="str">
        <x:v>S15 Alokasi biaya proyek</x:v>
      </x:c>
      <x:c r="D152" s="27" t="str">
        <x:v>S15 Alokasi biaya proyek</x:v>
      </x:c>
      <x:c r="E152" s="27" t="str">
        <x:v>S15 Alokasi biaya proyek</x:v>
      </x:c>
      <x:c r="F152" s="27" t="str">
        <x:v>S15 Alokasi biaya proyek</x:v>
      </x:c>
      <x:c r="G152" s="27" t="str">
        <x:v>S15 Alokasi biaya proyek</x:v>
      </x:c>
      <x:c r="H152" s="27" t="str">
        <x:v>S15 Alokasi biaya proyek</x:v>
      </x:c>
    </x:row>
    <x:row r="153" ht="38" customHeight="1">
      <x:c r="A153" s="25" t="str">
        <x:v>Biaya sumber</x:v>
      </x:c>
      <x:c r="B153" s="25" t="str">
        <x:v>Uraian</x:v>
      </x:c>
      <x:c r="C153" s="25" t="str">
        <x:v>Nilai sumber Rp</x:v>
      </x:c>
      <x:c r="D153" s="25" t="str">
        <x:v>Sudah dialokasi Rp</x:v>
      </x:c>
      <x:c r="E153" s="25" t="str">
        <x:v>Alokasi usulan Rp</x:v>
      </x:c>
      <x:c r="F153" s="25" t="str">
        <x:v>Sisa Rp</x:v>
      </x:c>
      <x:c r="G153" s="25" t="str">
        <x:v>Tujuan</x:v>
      </x:c>
      <x:c r="H153" s="25" t="str">
        <x:v>Aksi</x:v>
      </x:c>
    </x:row>
    <x:row r="154" ht="56" customHeight="1">
      <x:c r="A154" s="8" t="str">
        <x:v>BILL-PRJ-001</x:v>
      </x:c>
      <x:c r="B154" s="8" t="str">
        <x:v>Pembangunan</x:v>
      </x:c>
      <x:c r="C154" s="18" t="n">
        <x:v>30000000</x:v>
      </x:c>
      <x:c r="D154" s="18" t="n">
        <x:v>0</x:v>
      </x:c>
      <x:c r="E154" s="18" t="n">
        <x:v>24000000</x:v>
      </x:c>
      <x:c r="F154" s="18" t="n">
        <x:v>6000000</x:v>
      </x:c>
      <x:c r="G154" s="8" t="str">
        <x:v>AST-001</x:v>
      </x:c>
      <x:c r="H154" s="8" t="str">
        <x:v>Ubah draf</x:v>
      </x:c>
    </x:row>
    <x:row r="156" ht="36" customHeight="1">
      <x:c r="A156" s="15" t="str">
        <x:v>Field dapat diedit</x:v>
      </x:c>
      <x:c r="B156" s="14" t="str">
        <x:v>Pilih sumber, nilai alokasi dan tujuan pada draf.</x:v>
      </x:c>
      <x:c r="C156" s="14"/>
      <x:c r="D156" s="14"/>
      <x:c r="E156" s="14"/>
      <x:c r="F156" s="14"/>
      <x:c r="G156" s="14"/>
      <x:c r="H156" s="14"/>
    </x:row>
    <x:row r="157" ht="36" customHeight="1">
      <x:c r="A157" s="15" t="str">
        <x:v>Tombol baris</x:v>
      </x:c>
      <x:c r="B157" s="14" t="str">
        <x:v>Tambah sumber; ubah; hapus draf; buka tagihan.</x:v>
      </x:c>
      <x:c r="C157" s="14"/>
      <x:c r="D157" s="14"/>
      <x:c r="E157" s="14"/>
      <x:c r="F157" s="14"/>
      <x:c r="G157" s="14"/>
      <x:c r="H157" s="14"/>
    </x:row>
    <x:row r="158" ht="36" customHeight="1">
      <x:c r="A158" s="15" t="str">
        <x:v>Validasi</x:v>
      </x:c>
      <x:c r="B158" s="14" t="str">
        <x:v>Alokasi tidak melebihi sisa; biaya bank/biaya akuisisi mengikuti sumber yang sama bila relevan.</x:v>
      </x:c>
      <x:c r="C158" s="14"/>
      <x:c r="D158" s="14"/>
      <x:c r="E158" s="14"/>
      <x:c r="F158" s="14"/>
      <x:c r="G158" s="14"/>
      <x:c r="H158" s="14"/>
    </x:row>
    <x:row r="159" ht="36" customHeight="1">
      <x:c r="A159" s="15" t="str">
        <x:v>Sesudah submit</x:v>
      </x:c>
      <x:c r="B159" s="14" t="str">
        <x:v>Kapitalisasi posted terkunci; sisa biaya tetap terlihat dan perlu keputusan.</x:v>
      </x:c>
      <x:c r="C159" s="14"/>
      <x:c r="D159" s="14"/>
      <x:c r="E159" s="14"/>
      <x:c r="F159" s="14"/>
      <x:c r="G159" s="14"/>
      <x:c r="H159" s="14"/>
    </x:row>
    <x:row r="162" ht="28" customHeight="1">
      <x:c r="A162" s="27" t="str">
        <x:v>S16 Batch payroll HR</x:v>
      </x:c>
      <x:c r="B162" s="27" t="str">
        <x:v>S16 Batch payroll HR</x:v>
      </x:c>
      <x:c r="C162" s="27" t="str">
        <x:v>S16 Batch payroll HR</x:v>
      </x:c>
      <x:c r="D162" s="27" t="str">
        <x:v>S16 Batch payroll HR</x:v>
      </x:c>
      <x:c r="E162" s="27" t="str">
        <x:v>S16 Batch payroll HR</x:v>
      </x:c>
      <x:c r="F162" s="27" t="str">
        <x:v>S16 Batch payroll HR</x:v>
      </x:c>
      <x:c r="G162" s="27" t="str">
        <x:v>S16 Batch payroll HR</x:v>
      </x:c>
      <x:c r="H162" s="27" t="str">
        <x:v>S16 Batch payroll HR</x:v>
      </x:c>
    </x:row>
    <x:row r="163" ht="38" customHeight="1">
      <x:c r="A163" s="25" t="str">
        <x:v>Pegawai</x:v>
      </x:c>
      <x:c r="B163" s="25" t="str">
        <x:v>Versi HR</x:v>
      </x:c>
      <x:c r="C163" s="25" t="str">
        <x:v>Penghasilan Rp</x:v>
      </x:c>
      <x:c r="D163" s="25" t="str">
        <x:v>Potongan Rp</x:v>
      </x:c>
      <x:c r="E163" s="25" t="str">
        <x:v>Neto Rp</x:v>
      </x:c>
      <x:c r="F163" s="25" t="str">
        <x:v>Kewajiban</x:v>
      </x:c>
      <x:c r="G163" s="25" t="str">
        <x:v>Kelengkapan</x:v>
      </x:c>
      <x:c r="H163" s="25" t="str">
        <x:v>Aksi</x:v>
      </x:c>
    </x:row>
    <x:row r="164" ht="56" customHeight="1">
      <x:c r="A164" s="8" t="str">
        <x:v>Pegawai A</x:v>
      </x:c>
      <x:c r="B164" s="8" t="str">
        <x:v>v2</x:v>
      </x:c>
      <x:c r="C164" s="18" t="n">
        <x:v>5000000</x:v>
      </x:c>
      <x:c r="D164" s="18" t="n">
        <x:v>500000</x:v>
      </x:c>
      <x:c r="E164" s="18" t="n">
        <x:v>4500000</x:v>
      </x:c>
      <x:c r="F164" s="8" t="str">
        <x:v>PRP-001</x:v>
      </x:c>
      <x:c r="G164" s="8" t="str">
        <x:v>Snapshot ilustrasi</x:v>
      </x:c>
      <x:c r="H164" s="8" t="str">
        <x:v>Buka sumber HR</x:v>
      </x:c>
    </x:row>
    <x:row r="166" ht="36" customHeight="1">
      <x:c r="A166" s="15" t="str">
        <x:v>Field dapat diedit</x:v>
      </x:c>
      <x:c r="B166" s="14" t="str">
        <x:v>Baca saja di Finance. Komponen HR tidak diedit di grid ini.</x:v>
      </x:c>
      <x:c r="C166" s="14"/>
      <x:c r="D166" s="14"/>
      <x:c r="E166" s="14"/>
      <x:c r="F166" s="14"/>
      <x:c r="G166" s="14"/>
      <x:c r="H166" s="14"/>
    </x:row>
    <x:row r="167" ht="36" customHeight="1">
      <x:c r="A167" s="15" t="str">
        <x:v>Tombol baris</x:v>
      </x:c>
      <x:c r="B167" s="14" t="str">
        <x:v>Buka sumber; tinjau mapping; terima/kembalikan batch.</x:v>
      </x:c>
      <x:c r="C167" s="14"/>
      <x:c r="D167" s="14"/>
      <x:c r="E167" s="14"/>
      <x:c r="F167" s="14"/>
      <x:c r="G167" s="14"/>
      <x:c r="H167" s="14"/>
    </x:row>
    <x:row r="168" ht="36" customHeight="1">
      <x:c r="A168" s="15" t="str">
        <x:v>Validasi</x:v>
      </x:c>
      <x:c r="B168" s="14" t="str">
        <x:v>Harus lengkap, approved, sealed; versi dan unit sama; tidak menggandakan kewajiban saat retry.</x:v>
      </x:c>
      <x:c r="C168" s="14"/>
      <x:c r="D168" s="14"/>
      <x:c r="E168" s="14"/>
      <x:c r="F168" s="14"/>
      <x:c r="G168" s="14"/>
      <x:c r="H168" s="14"/>
    </x:row>
    <x:row r="169" ht="36" customHeight="1">
      <x:c r="A169" s="15" t="str">
        <x:v>Sesudah submit</x:v>
      </x:c>
      <x:c r="B169" s="14" t="str">
        <x:v>Pembayaran melalui F02; revisi nominal kembali ke HR dengan versi yang disetujui.</x:v>
      </x:c>
      <x:c r="C169" s="14"/>
      <x:c r="D169" s="14"/>
      <x:c r="E169" s="14"/>
      <x:c r="F169" s="14"/>
      <x:c r="G169" s="14"/>
      <x:c r="H169" s="14"/>
    </x:row>
    <x:row r="172" ht="28" customHeight="1">
      <x:c r="A172" s="27" t="str">
        <x:v>S17 Pelunasan payroll / pinjaman pegawai</x:v>
      </x:c>
      <x:c r="B172" s="27" t="str">
        <x:v>S17 Pelunasan payroll / pinjaman pegawai</x:v>
      </x:c>
      <x:c r="C172" s="27" t="str">
        <x:v>S17 Pelunasan payroll / pinjaman pegawai</x:v>
      </x:c>
      <x:c r="D172" s="27" t="str">
        <x:v>S17 Pelunasan payroll / pinjaman pegawai</x:v>
      </x:c>
      <x:c r="E172" s="27" t="str">
        <x:v>S17 Pelunasan payroll / pinjaman pegawai</x:v>
      </x:c>
      <x:c r="F172" s="27" t="str">
        <x:v>S17 Pelunasan payroll / pinjaman pegawai</x:v>
      </x:c>
      <x:c r="G172" s="27" t="str">
        <x:v>S17 Pelunasan payroll / pinjaman pegawai</x:v>
      </x:c>
      <x:c r="H172" s="27" t="str">
        <x:v>S17 Pelunasan payroll / pinjaman pegawai</x:v>
      </x:c>
    </x:row>
    <x:row r="173" ht="38" customHeight="1">
      <x:c r="A173" s="25" t="str">
        <x:v>Sumber</x:v>
      </x:c>
      <x:c r="B173" s="25" t="str">
        <x:v>Pegawai</x:v>
      </x:c>
      <x:c r="C173" s="25" t="str">
        <x:v>Jenis</x:v>
      </x:c>
      <x:c r="D173" s="25" t="str">
        <x:v>Nilai Rp</x:v>
      </x:c>
      <x:c r="E173" s="25" t="str">
        <x:v>Alokasi Rp</x:v>
      </x:c>
      <x:c r="F173" s="25" t="str">
        <x:v>Sisa Rp</x:v>
      </x:c>
      <x:c r="G173" s="25" t="str">
        <x:v>Jurnal</x:v>
      </x:c>
      <x:c r="H173" s="25" t="str">
        <x:v>Aksi</x:v>
      </x:c>
    </x:row>
    <x:row r="174" ht="56" customHeight="1">
      <x:c r="A174" s="8" t="str">
        <x:v>EMP-LOAN-001</x:v>
      </x:c>
      <x:c r="B174" s="8" t="str">
        <x:v>Pegawai A</x:v>
      </x:c>
      <x:c r="C174" s="8" t="str">
        <x:v>Piutang pegawai</x:v>
      </x:c>
      <x:c r="D174" s="18" t="n">
        <x:v>2000000</x:v>
      </x:c>
      <x:c r="E174" s="18" t="n">
        <x:v>500000</x:v>
      </x:c>
      <x:c r="F174" s="18" t="n">
        <x:v>1500000</x:v>
      </x:c>
      <x:c r="G174" s="8" t="str">
        <x:v>JRN-PR-001</x:v>
      </x:c>
      <x:c r="H174" s="8" t="str">
        <x:v>Buka potongan</x:v>
      </x:c>
    </x:row>
    <x:row r="176" ht="36" customHeight="1">
      <x:c r="A176" s="15" t="str">
        <x:v>Field dapat diedit</x:v>
      </x:c>
      <x:c r="B176" s="14" t="str">
        <x:v>Alokasi hanya bila sumber payroll/receipt aktual sah; jumlah batch sumber tidak diedit.</x:v>
      </x:c>
      <x:c r="C176" s="14"/>
      <x:c r="D176" s="14"/>
      <x:c r="E176" s="14"/>
      <x:c r="F176" s="14"/>
      <x:c r="G176" s="14"/>
      <x:c r="H176" s="14"/>
    </x:row>
    <x:row r="177" ht="36" customHeight="1">
      <x:c r="A177" s="15" t="str">
        <x:v>Tombol baris</x:v>
      </x:c>
      <x:c r="B177" s="14" t="str">
        <x:v>Buka batch; tautkan potongan; alokasikan penerimaan.</x:v>
      </x:c>
      <x:c r="C177" s="14"/>
      <x:c r="D177" s="14"/>
      <x:c r="E177" s="14"/>
      <x:c r="F177" s="14"/>
      <x:c r="G177" s="14"/>
      <x:c r="H177" s="14"/>
    </x:row>
    <x:row r="178" ht="36" customHeight="1">
      <x:c r="A178" s="15" t="str">
        <x:v>Validasi</x:v>
      </x:c>
      <x:c r="B178" s="14" t="str">
        <x:v>Potongan memiliki run/payment/jurnal; tidak melebihi sisa.</x:v>
      </x:c>
      <x:c r="C178" s="14"/>
      <x:c r="D178" s="14"/>
      <x:c r="E178" s="14"/>
      <x:c r="F178" s="14"/>
      <x:c r="G178" s="14"/>
      <x:c r="H178" s="14"/>
    </x:row>
    <x:row r="179" ht="36" customHeight="1">
      <x:c r="A179" s="15" t="str">
        <x:v>Sesudah submit</x:v>
      </x:c>
      <x:c r="B179" s="14" t="str">
        <x:v>Register dan GL berubah bersama sumber; tidak ada edit saldo lunas langsung.</x:v>
      </x:c>
      <x:c r="C179" s="14"/>
      <x:c r="D179" s="14"/>
      <x:c r="E179" s="14"/>
      <x:c r="F179" s="14"/>
      <x:c r="G179" s="14"/>
      <x:c r="H179" s="14"/>
    </x:row>
    <x:row r="182" ht="28" customHeight="1">
      <x:c r="A182" s="27" t="str">
        <x:v>S18 Jadwal pinjaman / angsuran</x:v>
      </x:c>
      <x:c r="B182" s="27" t="str">
        <x:v>S18 Jadwal pinjaman / angsuran</x:v>
      </x:c>
      <x:c r="C182" s="27" t="str">
        <x:v>S18 Jadwal pinjaman / angsuran</x:v>
      </x:c>
      <x:c r="D182" s="27" t="str">
        <x:v>S18 Jadwal pinjaman / angsuran</x:v>
      </x:c>
      <x:c r="E182" s="27" t="str">
        <x:v>S18 Jadwal pinjaman / angsuran</x:v>
      </x:c>
      <x:c r="F182" s="27" t="str">
        <x:v>S18 Jadwal pinjaman / angsuran</x:v>
      </x:c>
      <x:c r="G182" s="27" t="str">
        <x:v>S18 Jadwal pinjaman / angsuran</x:v>
      </x:c>
      <x:c r="H182" s="27" t="str">
        <x:v>S18 Jadwal pinjaman / angsuran</x:v>
      </x:c>
    </x:row>
    <x:row r="183" ht="38" customHeight="1">
      <x:c r="A183" s="25" t="str">
        <x:v>Jatuh tempo</x:v>
      </x:c>
      <x:c r="B183" s="25" t="str">
        <x:v>Pokok Rp</x:v>
      </x:c>
      <x:c r="C183" s="25" t="str">
        <x:v>Bunga Rp</x:v>
      </x:c>
      <x:c r="D183" s="25" t="str">
        <x:v>Biaya Rp</x:v>
      </x:c>
      <x:c r="E183" s="25" t="str">
        <x:v>Total Rp</x:v>
      </x:c>
      <x:c r="F183" s="25" t="str">
        <x:v>Dibayar Rp</x:v>
      </x:c>
      <x:c r="G183" s="25" t="str">
        <x:v>Sisa Rp</x:v>
      </x:c>
      <x:c r="H183" s="25" t="str">
        <x:v>Aksi</x:v>
      </x:c>
    </x:row>
    <x:row r="184" ht="56" customHeight="1">
      <x:c r="A184" s="8" t="str">
        <x:v>Tanggal angsuran</x:v>
      </x:c>
      <x:c r="B184" s="18" t="n">
        <x:v>10000000</x:v>
      </x:c>
      <x:c r="C184" s="18" t="n">
        <x:v>500000</x:v>
      </x:c>
      <x:c r="D184" s="18" t="n">
        <x:v>0</x:v>
      </x:c>
      <x:c r="E184" s="18" t="n">
        <x:v>10500000</x:v>
      </x:c>
      <x:c r="F184" s="18" t="n">
        <x:v>0</x:v>
      </x:c>
      <x:c r="G184" s="18" t="n">
        <x:v>10500000</x:v>
      </x:c>
      <x:c r="H184" s="8" t="str">
        <x:v>Siapkan pembayaran</x:v>
      </x:c>
    </x:row>
    <x:row r="186" ht="36" customHeight="1">
      <x:c r="A186" s="15" t="str">
        <x:v>Field dapat diedit</x:v>
      </x:c>
      <x:c r="B186" s="14" t="str">
        <x:v>Jadwal draf mengikuti kontrak; nilai sudah dibayar baca saja.</x:v>
      </x:c>
      <x:c r="C186" s="14"/>
      <x:c r="D186" s="14"/>
      <x:c r="E186" s="14"/>
      <x:c r="F186" s="14"/>
      <x:c r="G186" s="14"/>
      <x:c r="H186" s="14"/>
    </x:row>
    <x:row r="187" ht="36" customHeight="1">
      <x:c r="A187" s="15" t="str">
        <x:v>Tombol baris</x:v>
      </x:c>
      <x:c r="B187" s="14" t="str">
        <x:v>Pratinjau; review perubahan kontrak; pilih angsuran untuk bayar.</x:v>
      </x:c>
      <x:c r="C187" s="14"/>
      <x:c r="D187" s="14"/>
      <x:c r="E187" s="14"/>
      <x:c r="F187" s="14"/>
      <x:c r="G187" s="14"/>
      <x:c r="H187" s="14"/>
    </x:row>
    <x:row r="188" ht="36" customHeight="1">
      <x:c r="A188" s="15" t="str">
        <x:v>Validasi</x:v>
      </x:c>
      <x:c r="B188" s="14" t="str">
        <x:v>Pisahkan pokok/bunga/biaya; jumlah pokok tersisa masuk akal; bank/pemberi dana bukan default satu jenis.</x:v>
      </x:c>
      <x:c r="C188" s="14"/>
      <x:c r="D188" s="14"/>
      <x:c r="E188" s="14"/>
      <x:c r="F188" s="14"/>
      <x:c r="G188" s="14"/>
      <x:c r="H188" s="14"/>
    </x:row>
    <x:row r="189" ht="36" customHeight="1">
      <x:c r="A189" s="15" t="str">
        <x:v>Sesudah submit</x:v>
      </x:c>
      <x:c r="B189" s="14" t="str">
        <x:v>Perubahan kontrak berversi; payment tidak diubah dari tabel jadwal.</x:v>
      </x:c>
      <x:c r="C189" s="14"/>
      <x:c r="D189" s="14"/>
      <x:c r="E189" s="14"/>
      <x:c r="F189" s="14"/>
      <x:c r="G189" s="14"/>
      <x:c r="H189" s="14"/>
    </x:row>
    <x:row r="192" ht="28" customHeight="1">
      <x:c r="A192" s="27" t="str">
        <x:v>S19 Perubahan ekuitas</x:v>
      </x:c>
      <x:c r="B192" s="27" t="str">
        <x:v>S19 Perubahan ekuitas</x:v>
      </x:c>
      <x:c r="C192" s="27" t="str">
        <x:v>S19 Perubahan ekuitas</x:v>
      </x:c>
      <x:c r="D192" s="27" t="str">
        <x:v>S19 Perubahan ekuitas</x:v>
      </x:c>
      <x:c r="E192" s="27" t="str">
        <x:v>S19 Perubahan ekuitas</x:v>
      </x:c>
      <x:c r="F192" s="27" t="str">
        <x:v>S19 Perubahan ekuitas</x:v>
      </x:c>
      <x:c r="G192" s="27" t="str">
        <x:v>S19 Perubahan ekuitas</x:v>
      </x:c>
      <x:c r="H192" s="27" t="str">
        <x:v>S19 Perubahan ekuitas</x:v>
      </x:c>
    </x:row>
    <x:row r="193" ht="38" customHeight="1">
      <x:c r="A193" s="25" t="str">
        <x:v>Sumber</x:v>
      </x:c>
      <x:c r="B193" s="25" t="str">
        <x:v>Jenis</x:v>
      </x:c>
      <x:c r="C193" s="25" t="str">
        <x:v>Saldo awal Rp</x:v>
      </x:c>
      <x:c r="D193" s="25" t="str">
        <x:v>Setoran Rp</x:v>
      </x:c>
      <x:c r="E193" s="25" t="str">
        <x:v>Distribusi Rp</x:v>
      </x:c>
      <x:c r="F193" s="25" t="str">
        <x:v>Hasil periode Rp</x:v>
      </x:c>
      <x:c r="G193" s="25" t="str">
        <x:v>Saldo akhir Rp</x:v>
      </x:c>
      <x:c r="H193" s="25" t="str">
        <x:v>Aksi</x:v>
      </x:c>
    </x:row>
    <x:row r="194" ht="56" customHeight="1">
      <x:c r="A194" s="8" t="str">
        <x:v>2026-09 HO</x:v>
      </x:c>
      <x:c r="B194" s="8" t="str">
        <x:v>Ringkasan</x:v>
      </x:c>
      <x:c r="C194" s="18" t="n">
        <x:v>100000000</x:v>
      </x:c>
      <x:c r="D194" s="18" t="n">
        <x:v>50000000</x:v>
      </x:c>
      <x:c r="E194" s="18" t="n">
        <x:v>0</x:v>
      </x:c>
      <x:c r="F194" s="18" t="n">
        <x:v>20000000</x:v>
      </x:c>
      <x:c r="G194" s="18" t="n">
        <x:v>170000000</x:v>
      </x:c>
      <x:c r="H194" s="8" t="str">
        <x:v>Telusuri</x:v>
      </x:c>
    </x:row>
    <x:row r="196" ht="36" customHeight="1">
      <x:c r="A196" s="15" t="str">
        <x:v>Field dapat diedit</x:v>
      </x:c>
      <x:c r="B196" s="14" t="str">
        <x:v>Ringkasan baca saja; setoran/distribusi dibuat pada F28 berdasarkan keputusan.</x:v>
      </x:c>
      <x:c r="C196" s="14"/>
      <x:c r="D196" s="14"/>
      <x:c r="E196" s="14"/>
      <x:c r="F196" s="14"/>
      <x:c r="G196" s="14"/>
      <x:c r="H196" s="14"/>
    </x:row>
    <x:row r="197" ht="36" customHeight="1">
      <x:c r="A197" s="15" t="str">
        <x:v>Tombol baris</x:v>
      </x:c>
      <x:c r="B197" s="14" t="str">
        <x:v>Buka transaksi pemilik; buka laporan hasil; buka periode.</x:v>
      </x:c>
      <x:c r="C197" s="14"/>
      <x:c r="D197" s="14"/>
      <x:c r="E197" s="14"/>
      <x:c r="F197" s="14"/>
      <x:c r="G197" s="14"/>
      <x:c r="H197" s="14"/>
    </x:row>
    <x:row r="198" ht="36" customHeight="1">
      <x:c r="A198" s="15" t="str">
        <x:v>Validasi</x:v>
      </x:c>
      <x:c r="B198" s="14" t="str">
        <x:v>Hasil periode berasal dari GL/laporan, bukan input laba manual.</x:v>
      </x:c>
      <x:c r="C198" s="14"/>
      <x:c r="D198" s="14"/>
      <x:c r="E198" s="14"/>
      <x:c r="F198" s="14"/>
      <x:c r="G198" s="14"/>
      <x:c r="H198" s="14"/>
    </x:row>
    <x:row r="199" ht="36" customHeight="1">
      <x:c r="A199" s="15" t="str">
        <x:v>Sesudah submit</x:v>
      </x:c>
      <x:c r="B199" s="14" t="str">
        <x:v>Perubahan periode dan transaksi tetap mempunyai sumber yang dapat ditelusuri.</x:v>
      </x:c>
      <x:c r="C199" s="14"/>
      <x:c r="D199" s="14"/>
      <x:c r="E199" s="14"/>
      <x:c r="F199" s="14"/>
      <x:c r="G199" s="14"/>
      <x:c r="H199" s="14"/>
    </x:row>
    <x:row r="202" ht="28" customHeight="1">
      <x:c r="A202" s="27" t="str">
        <x:v>S20 Baris jurnal</x:v>
      </x:c>
      <x:c r="B202" s="27" t="str">
        <x:v>S20 Baris jurnal</x:v>
      </x:c>
      <x:c r="C202" s="27" t="str">
        <x:v>S20 Baris jurnal</x:v>
      </x:c>
      <x:c r="D202" s="27" t="str">
        <x:v>S20 Baris jurnal</x:v>
      </x:c>
      <x:c r="E202" s="27" t="str">
        <x:v>S20 Baris jurnal</x:v>
      </x:c>
      <x:c r="F202" s="27" t="str">
        <x:v>S20 Baris jurnal</x:v>
      </x:c>
      <x:c r="G202" s="27" t="str">
        <x:v>S20 Baris jurnal</x:v>
      </x:c>
      <x:c r="H202" s="27" t="str">
        <x:v>S20 Baris jurnal</x:v>
      </x:c>
    </x:row>
    <x:row r="203" ht="38" customHeight="1">
      <x:c r="A203" s="25" t="str">
        <x:v>Akun</x:v>
      </x:c>
      <x:c r="B203" s="25" t="str">
        <x:v>Nama</x:v>
      </x:c>
      <x:c r="C203" s="25" t="str">
        <x:v>Unit</x:v>
      </x:c>
      <x:c r="D203" s="25" t="str">
        <x:v>Debit Rp</x:v>
      </x:c>
      <x:c r="E203" s="25" t="str">
        <x:v>Kredit Rp</x:v>
      </x:c>
      <x:c r="F203" s="25" t="str">
        <x:v>Uraian</x:v>
      </x:c>
      <x:c r="G203" s="25" t="str">
        <x:v>Sumber</x:v>
      </x:c>
      <x:c r="H203" s="25" t="str">
        <x:v>Aksi</x:v>
      </x:c>
    </x:row>
    <x:row r="204" ht="56" customHeight="1">
      <x:c r="A204" s="8" t="str">
        <x:v>AKUN-BEBAN</x:v>
      </x:c>
      <x:c r="B204" s="8" t="str">
        <x:v>Beban contoh</x:v>
      </x:c>
      <x:c r="C204" s="8" t="str">
        <x:v>HO</x:v>
      </x:c>
      <x:c r="D204" s="28" t="n">
        <x:v>2500000</x:v>
      </x:c>
      <x:c r="E204" s="28" t="n">
        <x:v>0</x:v>
      </x:c>
      <x:c r="F204" s="8" t="str">
        <x:v>Biaya disetujui</x:v>
      </x:c>
      <x:c r="G204" s="8" t="str">
        <x:v>MANUAL-001</x:v>
      </x:c>
      <x:c r="H204" s="8" t="str">
        <x:v>Ubah draf</x:v>
      </x:c>
    </x:row>
    <x:row r="205" ht="56" customHeight="1">
      <x:c r="A205" s="8" t="str">
        <x:v>AKUN-UTANG</x:v>
      </x:c>
      <x:c r="B205" s="8" t="str">
        <x:v>Utang contoh</x:v>
      </x:c>
      <x:c r="C205" s="8" t="str">
        <x:v>HO</x:v>
      </x:c>
      <x:c r="D205" s="28" t="n">
        <x:v>0</x:v>
      </x:c>
      <x:c r="E205" s="28" t="n">
        <x:v>2500000</x:v>
      </x:c>
      <x:c r="F205" s="8" t="str">
        <x:v>Kewajiban</x:v>
      </x:c>
      <x:c r="G205" s="8" t="str">
        <x:v>MANUAL-001</x:v>
      </x:c>
      <x:c r="H205" s="8" t="str">
        <x:v>Ubah draf</x:v>
      </x:c>
    </x:row>
    <x:row r="207" ht="36" customHeight="1">
      <x:c r="A207" s="15" t="str">
        <x:v>Field dapat diedit</x:v>
      </x:c>
      <x:c r="B207" s="14" t="str">
        <x:v>Hanya jurnal manual draf: akun, dimensi, debit/kredit, uraian. Jurnal otomatis baca saja dan dibuka ke sumber.</x:v>
      </x:c>
      <x:c r="C207" s="14"/>
      <x:c r="D207" s="14"/>
      <x:c r="E207" s="14"/>
      <x:c r="F207" s="14"/>
      <x:c r="G207" s="14"/>
      <x:c r="H207" s="14"/>
    </x:row>
    <x:row r="208" ht="36" customHeight="1">
      <x:c r="A208" s="15" t="str">
        <x:v>Tombol baris</x:v>
      </x:c>
      <x:c r="B208" s="14" t="str">
        <x:v>Tambah baris; ubah; hapus draf; buka COA; pratinjau validasi.</x:v>
      </x:c>
      <x:c r="C208" s="14"/>
      <x:c r="D208" s="14"/>
      <x:c r="E208" s="14"/>
      <x:c r="F208" s="14"/>
      <x:c r="G208" s="14"/>
      <x:c r="H208" s="14"/>
    </x:row>
    <x:row r="209" ht="42" customHeight="1">
      <x:c r="A209" s="15" t="str">
        <x:v>Validasi</x:v>
      </x:c>
      <x:c r="B209" s="14" t="str">
        <x:v>Tepat satu sisi positif per baris; debit = kredit; akun aktif/postable/unit sah; periode terbuka. Kode pada contoh adalah placeholder, bukan COA baru.</x:v>
      </x:c>
      <x:c r="C209" s="14"/>
      <x:c r="D209" s="14"/>
      <x:c r="E209" s="14"/>
      <x:c r="F209" s="14"/>
      <x:c r="G209" s="14"/>
      <x:c r="H209" s="14"/>
    </x:row>
    <x:row r="210" ht="36" customHeight="1">
      <x:c r="A210" s="15" t="str">
        <x:v>Sesudah submit</x:v>
      </x:c>
      <x:c r="B210" s="14" t="str">
        <x:v>Posted tidak diedit/hapus; pembalikan/koreksi tertaut. Semua jalur memakai guardrail ledger yang sama.</x:v>
      </x:c>
      <x:c r="C210" s="14"/>
      <x:c r="D210" s="14"/>
      <x:c r="E210" s="14"/>
      <x:c r="F210" s="14"/>
      <x:c r="G210" s="14"/>
      <x:c r="H210" s="14"/>
    </x:row>
    <x:row r="211">
      <x:c r="A211" s="31" t="str">
        <x:v>Selisih jurnal Rp</x:v>
      </x:c>
      <x:c r="B211" s="31"/>
      <x:c r="C211" s="31"/>
      <x:c r="D211" s="32" t="n">
        <x:f>SUM(D204:D205)-SUM(E204:E205)</x:f>
        <x:v>0</x:v>
      </x:c>
      <x:c r="E211" s="31"/>
      <x:c r="F211" s="31" t="str">
        <x:f>IF(D211=0,"Seimbang","Belum seimbang")</x:f>
        <x:v>Seimbang</x:v>
      </x:c>
      <x:c r="G211" s="31"/>
      <x:c r="H211" s="31"/>
    </x:row>
    <x:row r="213" ht="28" customHeight="1">
      <x:c r="A213" s="27" t="str">
        <x:v>S21 Checklist tutup buku</x:v>
      </x:c>
      <x:c r="B213" s="27" t="str">
        <x:v>S21 Checklist tutup buku</x:v>
      </x:c>
      <x:c r="C213" s="27" t="str">
        <x:v>S21 Checklist tutup buku</x:v>
      </x:c>
      <x:c r="D213" s="27" t="str">
        <x:v>S21 Checklist tutup buku</x:v>
      </x:c>
      <x:c r="E213" s="27" t="str">
        <x:v>S21 Checklist tutup buku</x:v>
      </x:c>
      <x:c r="F213" s="27" t="str">
        <x:v>S21 Checklist tutup buku</x:v>
      </x:c>
      <x:c r="G213" s="27" t="str">
        <x:v>S21 Checklist tutup buku</x:v>
      </x:c>
      <x:c r="H213" s="27" t="str">
        <x:v>S21 Checklist tutup buku</x:v>
      </x:c>
    </x:row>
    <x:row r="214" ht="38" customHeight="1">
      <x:c r="A214" s="25" t="str">
        <x:v>Pemeriksaan</x:v>
      </x:c>
      <x:c r="B214" s="25" t="str">
        <x:v>Owner</x:v>
      </x:c>
      <x:c r="C214" s="25" t="str">
        <x:v>Sumber</x:v>
      </x:c>
      <x:c r="D214" s="25" t="str">
        <x:v>Kesiapan</x:v>
      </x:c>
      <x:c r="E214" s="25" t="str">
        <x:v>Masalah terbuka</x:v>
      </x:c>
      <x:c r="F214" s="25" t="str">
        <x:v>Bukti</x:v>
      </x:c>
      <x:c r="G214" s="25" t="str">
        <x:v>Reviewer</x:v>
      </x:c>
      <x:c r="H214" s="25" t="str">
        <x:v>Aksi</x:v>
      </x:c>
    </x:row>
    <x:row r="215" ht="56" customHeight="1">
      <x:c r="A215" s="8" t="str">
        <x:v>Rekonsiliasi bank</x:v>
      </x:c>
      <x:c r="B215" s="8" t="str">
        <x:v>Treasury</x:v>
      </x:c>
      <x:c r="C215" s="8" t="str">
        <x:v>REC-BANK-001</x:v>
      </x:c>
      <x:c r="D215" s="8" t="str">
        <x:v>Belum selesai</x:v>
      </x:c>
      <x:c r="E215" s="8" t="n">
        <x:v>1</x:v>
      </x:c>
      <x:c r="F215" s="8"/>
      <x:c r="G215" s="8" t="str">
        <x:v>Controller</x:v>
      </x:c>
      <x:c r="H215" s="8" t="str">
        <x:v>Buka masalah</x:v>
      </x:c>
    </x:row>
    <x:row r="216" ht="56" customHeight="1">
      <x:c r="A216" s="8" t="str">
        <x:v>Hasil periode</x:v>
      </x:c>
      <x:c r="B216" s="8" t="str">
        <x:v>Akuntansi</x:v>
      </x:c>
      <x:c r="C216" s="8" t="str">
        <x:v>Laporan</x:v>
      </x:c>
      <x:c r="D216" s="8" t="str">
        <x:v>Perlu review</x:v>
      </x:c>
      <x:c r="E216" s="8"/>
      <x:c r="F216" s="8"/>
      <x:c r="G216" s="8" t="str">
        <x:v>Controller</x:v>
      </x:c>
      <x:c r="H216" s="8" t="str">
        <x:v>Buka laporan</x:v>
      </x:c>
    </x:row>
    <x:row r="218" ht="36" customHeight="1">
      <x:c r="A218" s="15" t="str">
        <x:v>Field dapat diedit</x:v>
      </x:c>
      <x:c r="B218" s="14" t="str">
        <x:v>Owner dan bukti sesuai tugas; kesiapan dan jumlah masalah dibaca dari sumber.</x:v>
      </x:c>
      <x:c r="C218" s="14"/>
      <x:c r="D218" s="14"/>
      <x:c r="E218" s="14"/>
      <x:c r="F218" s="14"/>
      <x:c r="G218" s="14"/>
      <x:c r="H218" s="14"/>
    </x:row>
    <x:row r="219" ht="36" customHeight="1">
      <x:c r="A219" s="15" t="str">
        <x:v>Tombol baris</x:v>
      </x:c>
      <x:c r="B219" s="14" t="str">
        <x:v>Buka masalah; ajukan review; konfirmasi tahap berizin.</x:v>
      </x:c>
      <x:c r="C219" s="14"/>
      <x:c r="D219" s="14"/>
      <x:c r="E219" s="14"/>
      <x:c r="F219" s="14"/>
      <x:c r="G219" s="14"/>
      <x:c r="H219" s="14"/>
    </x:row>
    <x:row r="220" ht="36" customHeight="1">
      <x:c r="A220" s="15" t="str">
        <x:v>Validasi</x:v>
      </x:c>
      <x:c r="B220" s="14" t="str">
        <x:v>Tidak menandai selesai jika sumber belum lengkap; cakupan unit dan periode jelas.</x:v>
      </x:c>
      <x:c r="C220" s="14"/>
      <x:c r="D220" s="14"/>
      <x:c r="E220" s="14"/>
      <x:c r="F220" s="14"/>
      <x:c r="G220" s="14"/>
      <x:c r="H220" s="14"/>
    </x:row>
    <x:row r="221" ht="36" customHeight="1">
      <x:c r="A221" s="15" t="str">
        <x:v>Sesudah submit</x:v>
      </x:c>
      <x:c r="B221" s="14" t="str">
        <x:v>Saat tutup simpan jejak keputusan/bukti; buka ulang memerlukan alasan dan mandat.</x:v>
      </x:c>
      <x:c r="C221" s="14"/>
      <x:c r="D221" s="14"/>
      <x:c r="E221" s="14"/>
      <x:c r="F221" s="14"/>
      <x:c r="G221" s="14"/>
      <x:c r="H221" s="14"/>
    </x:row>
    <x:row r="224" ht="28" customHeight="1">
      <x:c r="A224" s="27" t="str">
        <x:v>S22 Master, pemetaan dan versi</x:v>
      </x:c>
      <x:c r="B224" s="27" t="str">
        <x:v>S22 Master, pemetaan dan versi</x:v>
      </x:c>
      <x:c r="C224" s="27" t="str">
        <x:v>S22 Master, pemetaan dan versi</x:v>
      </x:c>
      <x:c r="D224" s="27" t="str">
        <x:v>S22 Master, pemetaan dan versi</x:v>
      </x:c>
      <x:c r="E224" s="27" t="str">
        <x:v>S22 Master, pemetaan dan versi</x:v>
      </x:c>
      <x:c r="F224" s="27" t="str">
        <x:v>S22 Master, pemetaan dan versi</x:v>
      </x:c>
      <x:c r="G224" s="27" t="str">
        <x:v>S22 Master, pemetaan dan versi</x:v>
      </x:c>
      <x:c r="H224" s="27" t="str">
        <x:v>S22 Master, pemetaan dan versi</x:v>
      </x:c>
    </x:row>
    <x:row r="225" ht="38" customHeight="1">
      <x:c r="A225" s="25" t="str">
        <x:v>Field/dimensi</x:v>
      </x:c>
      <x:c r="B225" s="25" t="str">
        <x:v>Nilai kini</x:v>
      </x:c>
      <x:c r="C225" s="25" t="str">
        <x:v>Nilai usulan</x:v>
      </x:c>
      <x:c r="D225" s="25" t="str">
        <x:v>Berlaku mulai</x:v>
      </x:c>
      <x:c r="E225" s="25" t="str">
        <x:v>Dasar</x:v>
      </x:c>
      <x:c r="F225" s="25" t="str">
        <x:v>Status</x:v>
      </x:c>
      <x:c r="G225" s="25" t="str">
        <x:v>Hasil uji</x:v>
      </x:c>
      <x:c r="H225" s="25" t="str">
        <x:v>Aksi</x:v>
      </x:c>
    </x:row>
    <x:row r="226" ht="56" customHeight="1">
      <x:c r="A226" s="8" t="str">
        <x:v>Bank giro</x:v>
      </x:c>
      <x:c r="B226" s="8" t="str">
        <x:v>BCA default</x:v>
      </x:c>
      <x:c r="C226" s="8" t="str">
        <x:v>Mandiri sesuai rekening</x:v>
      </x:c>
      <x:c r="D226" s="8" t="str">
        <x:v>Tanggal berlaku</x:v>
      </x:c>
      <x:c r="E226" s="8" t="str">
        <x:v>Koreksi dimensi</x:v>
      </x:c>
      <x:c r="F226" s="8" t="str">
        <x:v>Usulan</x:v>
      </x:c>
      <x:c r="G226" s="8" t="str">
        <x:v>Perlu uji</x:v>
      </x:c>
      <x:c r="H226" s="8" t="str">
        <x:v>Review</x:v>
      </x:c>
    </x:row>
    <x:row r="227" ht="56" customHeight="1">
      <x:c r="A227" s="8" t="str">
        <x:v>Akun tujuan</x:v>
      </x:c>
      <x:c r="B227" s="8" t="str">
        <x:v>Akun tidak sesuai</x:v>
      </x:c>
      <x:c r="C227" s="8" t="str">
        <x:v>201200200200</x:v>
      </x:c>
      <x:c r="D227" s="8" t="str">
        <x:v>Tanggal berlaku</x:v>
      </x:c>
      <x:c r="E227" s="8" t="str">
        <x:v>COA sumber</x:v>
      </x:c>
      <x:c r="F227" s="8" t="str">
        <x:v>Usulan</x:v>
      </x:c>
      <x:c r="G227" s="8" t="str">
        <x:v>Perlu uji</x:v>
      </x:c>
      <x:c r="H227" s="8" t="str">
        <x:v>Simulasikan</x:v>
      </x:c>
    </x:row>
    <x:row r="229" ht="36" customHeight="1">
      <x:c r="A229" s="15" t="str">
        <x:v>Field dapat diedit</x:v>
      </x:c>
      <x:c r="B229" s="14" t="str">
        <x:v>Nilai usulan draf dengan tipe sesuai master. Nilai kini dan riwayat baca saja.</x:v>
      </x:c>
      <x:c r="C229" s="14"/>
      <x:c r="D229" s="14"/>
      <x:c r="E229" s="14"/>
      <x:c r="F229" s="14"/>
      <x:c r="G229" s="14"/>
      <x:c r="H229" s="14"/>
    </x:row>
    <x:row r="230" ht="36" customHeight="1">
      <x:c r="A230" s="15" t="str">
        <x:v>Tombol baris</x:v>
      </x:c>
      <x:c r="B230" s="14" t="str">
        <x:v>Ubah draf; lihat penggunaan; simulasikan jika rule; ajukan.</x:v>
      </x:c>
      <x:c r="C230" s="14"/>
      <x:c r="D230" s="14"/>
      <x:c r="E230" s="14"/>
      <x:c r="F230" s="14"/>
      <x:c r="G230" s="14"/>
      <x:c r="H230" s="14"/>
    </x:row>
    <x:row r="231" ht="36" customHeight="1">
      <x:c r="A231" s="15" t="str">
        <x:v>Validasi</x:v>
      </x:c>
      <x:c r="B231" s="14" t="str">
        <x:v>Identitas kode sebagai teks; dimensi/unit/aktif/postable sah; masa berlaku tidak ambigu.</x:v>
      </x:c>
      <x:c r="C231" s="14"/>
      <x:c r="D231" s="14"/>
      <x:c r="E231" s="14"/>
      <x:c r="F231" s="14"/>
      <x:c r="G231" s="14"/>
      <x:c r="H231" s="14"/>
    </x:row>
    <x:row r="232" ht="36" customHeight="1">
      <x:c r="A232" s="15" t="str">
        <x:v>Sesudah submit</x:v>
      </x:c>
      <x:c r="B232" s="14" t="str">
        <x:v>Reviewer menyetujui; aktivasi/publikasi terpisah; histori tetap dipertahankan.</x:v>
      </x:c>
      <x:c r="C232" s="14"/>
      <x:c r="D232" s="14"/>
      <x:c r="E232" s="14"/>
      <x:c r="F232" s="14"/>
      <x:c r="G232" s="14"/>
      <x:c r="H232" s="14"/>
    </x:row>
    <x:row r="235" ht="28" customHeight="1">
      <x:c r="A235" s="27" t="str">
        <x:v>S23 Pratinjau impor</x:v>
      </x:c>
      <x:c r="B235" s="27" t="str">
        <x:v>S23 Pratinjau impor</x:v>
      </x:c>
      <x:c r="C235" s="27" t="str">
        <x:v>S23 Pratinjau impor</x:v>
      </x:c>
      <x:c r="D235" s="27" t="str">
        <x:v>S23 Pratinjau impor</x:v>
      </x:c>
      <x:c r="E235" s="27" t="str">
        <x:v>S23 Pratinjau impor</x:v>
      </x:c>
      <x:c r="F235" s="27" t="str">
        <x:v>S23 Pratinjau impor</x:v>
      </x:c>
      <x:c r="G235" s="27" t="str">
        <x:v>S23 Pratinjau impor</x:v>
      </x:c>
      <x:c r="H235" s="27" t="str">
        <x:v>S23 Pratinjau impor</x:v>
      </x:c>
    </x:row>
    <x:row r="236" ht="38" customHeight="1">
      <x:c r="A236" s="25" t="str">
        <x:v>Baris</x:v>
      </x:c>
      <x:c r="B236" s="25" t="str">
        <x:v>Referensi sumber</x:v>
      </x:c>
      <x:c r="C236" s="25" t="str">
        <x:v>Unit</x:v>
      </x:c>
      <x:c r="D236" s="25" t="str">
        <x:v>Tanggal</x:v>
      </x:c>
      <x:c r="E236" s="25" t="str">
        <x:v>Nominal Rp</x:v>
      </x:c>
      <x:c r="F236" s="25" t="str">
        <x:v>Validasi</x:v>
      </x:c>
      <x:c r="G236" s="25" t="str">
        <x:v>Alasan</x:v>
      </x:c>
      <x:c r="H236" s="25" t="str">
        <x:v>Aksi</x:v>
      </x:c>
    </x:row>
    <x:row r="237" ht="56" customHeight="1">
      <x:c r="A237" s="8" t="n">
        <x:v>1</x:v>
      </x:c>
      <x:c r="B237" s="8" t="str">
        <x:v>EXT-001</x:v>
      </x:c>
      <x:c r="C237" s="8" t="str">
        <x:v>HO</x:v>
      </x:c>
      <x:c r="D237" s="8" t="str">
        <x:v>Tanggal sumber</x:v>
      </x:c>
      <x:c r="E237" s="18" t="n">
        <x:v>1000000</x:v>
      </x:c>
      <x:c r="F237" s="8" t="str">
        <x:v>Valid</x:v>
      </x:c>
      <x:c r="G237" s="8"/>
      <x:c r="H237" s="8" t="str">
        <x:v>Sertakan</x:v>
      </x:c>
    </x:row>
    <x:row r="238" ht="56" customHeight="1">
      <x:c r="A238" s="8" t="n">
        <x:v>2</x:v>
      </x:c>
      <x:c r="B238" s="8" t="str">
        <x:v>EXT-001</x:v>
      </x:c>
      <x:c r="C238" s="8" t="str">
        <x:v>HO</x:v>
      </x:c>
      <x:c r="D238" s="8" t="str">
        <x:v>Tanggal sumber</x:v>
      </x:c>
      <x:c r="E238" s="18" t="n">
        <x:v>1000000</x:v>
      </x:c>
      <x:c r="F238" s="8" t="str">
        <x:v>Duplikat</x:v>
      </x:c>
      <x:c r="G238" s="8" t="str">
        <x:v>Referensi sama</x:v>
      </x:c>
      <x:c r="H238" s="8" t="str">
        <x:v>Perbaiki sumber</x:v>
      </x:c>
    </x:row>
    <x:row r="240" ht="36" customHeight="1">
      <x:c r="A240" s="15" t="str">
        <x:v>Field dapat diedit</x:v>
      </x:c>
      <x:c r="B240" s="14" t="str">
        <x:v>Pemetaan kolom/pengecualian sesuai prosedur; data sumber tidak diubah diam-diam.</x:v>
      </x:c>
      <x:c r="C240" s="14"/>
      <x:c r="D240" s="14"/>
      <x:c r="E240" s="14"/>
      <x:c r="F240" s="14"/>
      <x:c r="G240" s="14"/>
      <x:c r="H240" s="14"/>
    </x:row>
    <x:row r="241" ht="36" customHeight="1">
      <x:c r="A241" s="15" t="str">
        <x:v>Tombol baris</x:v>
      </x:c>
      <x:c r="B241" s="14" t="str">
        <x:v>Pratinjau; sertakan valid; unduh kesalahan; batalkan.</x:v>
      </x:c>
      <x:c r="C241" s="14"/>
      <x:c r="D241" s="14"/>
      <x:c r="E241" s="14"/>
      <x:c r="F241" s="14"/>
      <x:c r="G241" s="14"/>
      <x:c r="H241" s="14"/>
    </x:row>
    <x:row r="242" ht="36" customHeight="1">
      <x:c r="A242" s="15" t="str">
        <x:v>Validasi</x:v>
      </x:c>
      <x:c r="B242" s="14" t="str">
        <x:v>Duplikat/format/unit/dimensi diperiksa; hasil parsial jelas per baris.</x:v>
      </x:c>
      <x:c r="C242" s="14"/>
      <x:c r="D242" s="14"/>
      <x:c r="E242" s="14"/>
      <x:c r="F242" s="14"/>
      <x:c r="G242" s="14"/>
      <x:c r="H242" s="14"/>
    </x:row>
    <x:row r="243" ht="36" customHeight="1">
      <x:c r="A243" s="15" t="str">
        <x:v>Sesudah submit</x:v>
      </x:c>
      <x:c r="B243" s="14" t="str">
        <x:v>Konfirmasi hanya baris yang sah; retry tidak menduplikasi transaksi sebelumnya.</x:v>
      </x:c>
      <x:c r="C243" s="14"/>
      <x:c r="D243" s="14"/>
      <x:c r="E243" s="14"/>
      <x:c r="F243" s="14"/>
      <x:c r="G243" s="14"/>
      <x:c r="H243" s="14"/>
    </x:row>
    <x:row r="246" ht="28" customHeight="1">
      <x:c r="A246" s="27" t="str">
        <x:v>S24 Rincian laporan / buku besar</x:v>
      </x:c>
      <x:c r="B246" s="27" t="str">
        <x:v>S24 Rincian laporan / buku besar</x:v>
      </x:c>
      <x:c r="C246" s="27" t="str">
        <x:v>S24 Rincian laporan / buku besar</x:v>
      </x:c>
      <x:c r="D246" s="27" t="str">
        <x:v>S24 Rincian laporan / buku besar</x:v>
      </x:c>
      <x:c r="E246" s="27" t="str">
        <x:v>S24 Rincian laporan / buku besar</x:v>
      </x:c>
      <x:c r="F246" s="27" t="str">
        <x:v>S24 Rincian laporan / buku besar</x:v>
      </x:c>
      <x:c r="G246" s="27" t="str">
        <x:v>S24 Rincian laporan / buku besar</x:v>
      </x:c>
      <x:c r="H246" s="27" t="str">
        <x:v>S24 Rincian laporan / buku besar</x:v>
      </x:c>
    </x:row>
    <x:row r="247" ht="38" customHeight="1">
      <x:c r="A247" s="25" t="str">
        <x:v>Pos/akun</x:v>
      </x:c>
      <x:c r="B247" s="25" t="str">
        <x:v>Periode</x:v>
      </x:c>
      <x:c r="C247" s="25" t="str">
        <x:v>Nilai Rp</x:v>
      </x:c>
      <x:c r="D247" s="25" t="str">
        <x:v>Pembanding Rp</x:v>
      </x:c>
      <x:c r="E247" s="25" t="str">
        <x:v>Selisih Rp</x:v>
      </x:c>
      <x:c r="F247" s="25" t="str">
        <x:v>Unit</x:v>
      </x:c>
      <x:c r="G247" s="25" t="str">
        <x:v>Sumber</x:v>
      </x:c>
      <x:c r="H247" s="25" t="str">
        <x:v>Aksi</x:v>
      </x:c>
    </x:row>
    <x:row r="248" ht="56" customHeight="1">
      <x:c r="A248" s="8" t="str">
        <x:v>Pendapatan</x:v>
      </x:c>
      <x:c r="B248" s="8" t="str">
        <x:v>2026-09</x:v>
      </x:c>
      <x:c r="C248" s="18" t="n">
        <x:v>100000000</x:v>
      </x:c>
      <x:c r="D248" s="18" t="n">
        <x:v>90000000</x:v>
      </x:c>
      <x:c r="E248" s="18" t="n">
        <x:v>10000000</x:v>
      </x:c>
      <x:c r="F248" s="8" t="str">
        <x:v>HO</x:v>
      </x:c>
      <x:c r="G248" s="8" t="str">
        <x:v>GL</x:v>
      </x:c>
      <x:c r="H248" s="8" t="str">
        <x:v>Telusuri</x:v>
      </x:c>
    </x:row>
    <x:row r="250" ht="36" customHeight="1">
      <x:c r="A250" s="15" t="str">
        <x:v>Field dapat diedit</x:v>
      </x:c>
      <x:c r="B250" s="14" t="str">
        <x:v>Baca saja. Filter/periode/unit dan kolom tampilan dapat dipilih.</x:v>
      </x:c>
      <x:c r="C250" s="14"/>
      <x:c r="D250" s="14"/>
      <x:c r="E250" s="14"/>
      <x:c r="F250" s="14"/>
      <x:c r="G250" s="14"/>
      <x:c r="H250" s="14"/>
    </x:row>
    <x:row r="251" ht="36" customHeight="1">
      <x:c r="A251" s="15" t="str">
        <x:v>Tombol baris</x:v>
      </x:c>
      <x:c r="B251" s="14" t="str">
        <x:v>Telusuri pos → akun → jurnal → dokumen; ekspor sesuai izin.</x:v>
      </x:c>
      <x:c r="C251" s="14"/>
      <x:c r="D251" s="14"/>
      <x:c r="E251" s="14"/>
      <x:c r="F251" s="14"/>
      <x:c r="G251" s="14"/>
      <x:c r="H251" s="14"/>
    </x:row>
    <x:row r="252" ht="36" customHeight="1">
      <x:c r="A252" s="15" t="str">
        <x:v>Validasi</x:v>
      </x:c>
      <x:c r="B252" s="14" t="str">
        <x:v>Angka mencakup seluruh filter, bukan hanya halaman terlihat; sumber dan versi jelas.</x:v>
      </x:c>
      <x:c r="C252" s="14"/>
      <x:c r="D252" s="14"/>
      <x:c r="E252" s="14"/>
      <x:c r="F252" s="14"/>
      <x:c r="G252" s="14"/>
      <x:c r="H252" s="14"/>
    </x:row>
    <x:row r="253" ht="36" customHeight="1">
      <x:c r="A253" s="15" t="str">
        <x:v>Sesudah submit</x:v>
      </x:c>
      <x:c r="B253" s="14" t="str">
        <x:v>Koreksi di dokumen sumber; laporan tidak membuat transaksi baru.</x:v>
      </x:c>
      <x:c r="C253" s="14"/>
      <x:c r="D253" s="14"/>
      <x:c r="E253" s="14"/>
      <x:c r="F253" s="14"/>
      <x:c r="G253" s="14"/>
      <x:c r="H253" s="14"/>
    </x:row>
    <x:row r="256" ht="28" customHeight="1">
      <x:c r="A256" s="27" t="str">
        <x:v>S25 Cakupan konsolidasi / eliminasi</x:v>
      </x:c>
      <x:c r="B256" s="27" t="str">
        <x:v>S25 Cakupan konsolidasi / eliminasi</x:v>
      </x:c>
      <x:c r="C256" s="27" t="str">
        <x:v>S25 Cakupan konsolidasi / eliminasi</x:v>
      </x:c>
      <x:c r="D256" s="27" t="str">
        <x:v>S25 Cakupan konsolidasi / eliminasi</x:v>
      </x:c>
      <x:c r="E256" s="27" t="str">
        <x:v>S25 Cakupan konsolidasi / eliminasi</x:v>
      </x:c>
      <x:c r="F256" s="27" t="str">
        <x:v>S25 Cakupan konsolidasi / eliminasi</x:v>
      </x:c>
      <x:c r="G256" s="27" t="str">
        <x:v>S25 Cakupan konsolidasi / eliminasi</x:v>
      </x:c>
      <x:c r="H256" s="27" t="str">
        <x:v>S25 Cakupan konsolidasi / eliminasi</x:v>
      </x:c>
    </x:row>
    <x:row r="257" ht="38" customHeight="1">
      <x:c r="A257" s="25" t="str">
        <x:v>Unit</x:v>
      </x:c>
      <x:c r="B257" s="25" t="str">
        <x:v>Periode</x:v>
      </x:c>
      <x:c r="C257" s="25" t="str">
        <x:v>Data tersedia</x:v>
      </x:c>
      <x:c r="D257" s="25" t="str">
        <x:v>Periode ditutup</x:v>
      </x:c>
      <x:c r="E257" s="25" t="str">
        <x:v>Saldo antarunit</x:v>
      </x:c>
      <x:c r="F257" s="25" t="str">
        <x:v>Eliminasi</x:v>
      </x:c>
      <x:c r="G257" s="25" t="str">
        <x:v>Status</x:v>
      </x:c>
      <x:c r="H257" s="25" t="str">
        <x:v>Aksi</x:v>
      </x:c>
    </x:row>
    <x:row r="258" ht="56" customHeight="1">
      <x:c r="A258" s="8" t="str">
        <x:v>HO</x:v>
      </x:c>
      <x:c r="B258" s="8" t="str">
        <x:v>2026-09</x:v>
      </x:c>
      <x:c r="C258" s="8" t="str">
        <x:v>Ya</x:v>
      </x:c>
      <x:c r="D258" s="8" t="str">
        <x:v>Belum</x:v>
      </x:c>
      <x:c r="E258" s="8" t="str">
        <x:v>Perlu review</x:v>
      </x:c>
      <x:c r="F258" s="8" t="str">
        <x:v>Belum final</x:v>
      </x:c>
      <x:c r="G258" s="8" t="str">
        <x:v>Disiapkan</x:v>
      </x:c>
      <x:c r="H258" s="8" t="str">
        <x:v>Buka unit</x:v>
      </x:c>
    </x:row>
    <x:row r="259" ht="56" customHeight="1">
      <x:c r="A259" s="8" t="str">
        <x:v>C006</x:v>
      </x:c>
      <x:c r="B259" s="8" t="str">
        <x:v>2026-09</x:v>
      </x:c>
      <x:c r="C259" s="8" t="str">
        <x:v>Ya</x:v>
      </x:c>
      <x:c r="D259" s="8" t="str">
        <x:v>Belum</x:v>
      </x:c>
      <x:c r="E259" s="8" t="str">
        <x:v>Perlu review</x:v>
      </x:c>
      <x:c r="F259" s="8" t="str">
        <x:v>Belum final</x:v>
      </x:c>
      <x:c r="G259" s="8" t="str">
        <x:v>Disiapkan</x:v>
      </x:c>
      <x:c r="H259" s="8" t="str">
        <x:v>Buka unit</x:v>
      </x:c>
    </x:row>
    <x:row r="261" ht="36" customHeight="1">
      <x:c r="A261" s="15" t="str">
        <x:v>Field dapat diedit</x:v>
      </x:c>
      <x:c r="B261" s="14" t="str">
        <x:v>Cakupan unit sebagai filter berizin; nilai eliminasi bukan edit bebas laporan.</x:v>
      </x:c>
      <x:c r="C261" s="14"/>
      <x:c r="D261" s="14"/>
      <x:c r="E261" s="14"/>
      <x:c r="F261" s="14"/>
      <x:c r="G261" s="14"/>
      <x:c r="H261" s="14"/>
    </x:row>
    <x:row r="262" ht="36" customHeight="1">
      <x:c r="A262" s="15" t="str">
        <x:v>Tombol baris</x:v>
      </x:c>
      <x:c r="B262" s="14" t="str">
        <x:v>Pilih unit; buka pasangan; tinjau sumber eliminasi.</x:v>
      </x:c>
      <x:c r="C262" s="14"/>
      <x:c r="D262" s="14"/>
      <x:c r="E262" s="14"/>
      <x:c r="F262" s="14"/>
      <x:c r="G262" s="14"/>
      <x:c r="H262" s="14"/>
    </x:row>
    <x:row r="263" ht="36" customHeight="1">
      <x:c r="A263" s="15" t="str">
        <x:v>Validasi</x:v>
      </x:c>
      <x:c r="B263" s="14" t="str">
        <x:v>Semua unit terpilih dihitung; kesiapan eksplisit; eliminasi punya dasar pencatatan sah.</x:v>
      </x:c>
      <x:c r="C263" s="14"/>
      <x:c r="D263" s="14"/>
      <x:c r="E263" s="14"/>
      <x:c r="F263" s="14"/>
      <x:c r="G263" s="14"/>
      <x:c r="H263" s="14"/>
    </x:row>
    <x:row r="264" ht="36" customHeight="1">
      <x:c r="A264" s="15" t="str">
        <x:v>Sesudah submit</x:v>
      </x:c>
      <x:c r="B264" s="14" t="str">
        <x:v>Hasil terbit menyimpan cakupan/versi; tidak hardcode hanya tiga unit.</x:v>
      </x:c>
      <x:c r="C264" s="14"/>
      <x:c r="D264" s="14"/>
      <x:c r="E264" s="14"/>
      <x:c r="F264" s="14"/>
      <x:c r="G264" s="14"/>
      <x:c r="H264" s="14"/>
    </x:row>
  </x:sheetData>
  <x:mergeCells>
    <x:mergeCell ref="A1:H1"/>
    <x:mergeCell ref="A2:H3"/>
    <x:mergeCell ref="A5:H5"/>
    <x:mergeCell ref="B10:H10"/>
    <x:mergeCell ref="B11:H11"/>
    <x:mergeCell ref="B12:H12"/>
    <x:mergeCell ref="B13:H13"/>
    <x:mergeCell ref="A16:H16"/>
    <x:mergeCell ref="B21:H21"/>
    <x:mergeCell ref="B22:H22"/>
    <x:mergeCell ref="B23:H23"/>
    <x:mergeCell ref="B24:H24"/>
    <x:mergeCell ref="A27:H27"/>
    <x:mergeCell ref="B32:H32"/>
    <x:mergeCell ref="B33:H33"/>
    <x:mergeCell ref="B34:H34"/>
    <x:mergeCell ref="B35:H35"/>
    <x:mergeCell ref="A38:H38"/>
    <x:mergeCell ref="B42:H42"/>
    <x:mergeCell ref="B43:H43"/>
    <x:mergeCell ref="B44:H44"/>
    <x:mergeCell ref="B45:H45"/>
    <x:mergeCell ref="A48:H48"/>
    <x:mergeCell ref="B53:H53"/>
    <x:mergeCell ref="B54:H54"/>
    <x:mergeCell ref="B55:H55"/>
    <x:mergeCell ref="B56:H56"/>
    <x:mergeCell ref="A59:H59"/>
    <x:mergeCell ref="B64:H64"/>
    <x:mergeCell ref="B65:H65"/>
    <x:mergeCell ref="B66:H66"/>
    <x:mergeCell ref="B67:H67"/>
    <x:mergeCell ref="A70:H70"/>
    <x:mergeCell ref="B74:H74"/>
    <x:mergeCell ref="B75:H75"/>
    <x:mergeCell ref="B76:H76"/>
    <x:mergeCell ref="B77:H77"/>
    <x:mergeCell ref="A80:H80"/>
    <x:mergeCell ref="B85:H85"/>
    <x:mergeCell ref="B86:H86"/>
    <x:mergeCell ref="B87:H87"/>
    <x:mergeCell ref="B88:H88"/>
    <x:mergeCell ref="A91:H91"/>
    <x:mergeCell ref="B96:H96"/>
    <x:mergeCell ref="B97:H97"/>
    <x:mergeCell ref="B98:H98"/>
    <x:mergeCell ref="B99:H99"/>
    <x:mergeCell ref="A102:H102"/>
    <x:mergeCell ref="B106:H106"/>
    <x:mergeCell ref="B107:H107"/>
    <x:mergeCell ref="B108:H108"/>
    <x:mergeCell ref="B109:H109"/>
    <x:mergeCell ref="A112:H112"/>
    <x:mergeCell ref="B116:H116"/>
    <x:mergeCell ref="B117:H117"/>
    <x:mergeCell ref="B118:H118"/>
    <x:mergeCell ref="B119:H119"/>
    <x:mergeCell ref="A122:H122"/>
    <x:mergeCell ref="B126:H126"/>
    <x:mergeCell ref="B127:H127"/>
    <x:mergeCell ref="B128:H128"/>
    <x:mergeCell ref="B129:H129"/>
    <x:mergeCell ref="A132:H132"/>
    <x:mergeCell ref="B136:H136"/>
    <x:mergeCell ref="B137:H137"/>
    <x:mergeCell ref="B138:H138"/>
    <x:mergeCell ref="B139:H139"/>
    <x:mergeCell ref="A142:H142"/>
    <x:mergeCell ref="B146:H146"/>
    <x:mergeCell ref="B147:H147"/>
    <x:mergeCell ref="B148:H148"/>
    <x:mergeCell ref="B149:H149"/>
    <x:mergeCell ref="A152:H152"/>
    <x:mergeCell ref="B156:H156"/>
    <x:mergeCell ref="B157:H157"/>
    <x:mergeCell ref="B158:H158"/>
    <x:mergeCell ref="B159:H159"/>
    <x:mergeCell ref="A162:H162"/>
    <x:mergeCell ref="B166:H166"/>
    <x:mergeCell ref="B167:H167"/>
    <x:mergeCell ref="B168:H168"/>
    <x:mergeCell ref="B169:H169"/>
    <x:mergeCell ref="A172:H172"/>
    <x:mergeCell ref="B176:H176"/>
    <x:mergeCell ref="B177:H177"/>
    <x:mergeCell ref="B178:H178"/>
    <x:mergeCell ref="B179:H179"/>
    <x:mergeCell ref="A182:H182"/>
    <x:mergeCell ref="B186:H186"/>
    <x:mergeCell ref="B187:H187"/>
    <x:mergeCell ref="B188:H188"/>
    <x:mergeCell ref="B189:H189"/>
    <x:mergeCell ref="A192:H192"/>
    <x:mergeCell ref="B196:H196"/>
    <x:mergeCell ref="B197:H197"/>
    <x:mergeCell ref="B198:H198"/>
    <x:mergeCell ref="B199:H199"/>
    <x:mergeCell ref="A202:H202"/>
    <x:mergeCell ref="B207:H207"/>
    <x:mergeCell ref="B208:H208"/>
    <x:mergeCell ref="B209:H209"/>
    <x:mergeCell ref="B210:H210"/>
    <x:mergeCell ref="A213:H213"/>
    <x:mergeCell ref="B218:H218"/>
    <x:mergeCell ref="B219:H219"/>
    <x:mergeCell ref="B220:H220"/>
    <x:mergeCell ref="B221:H221"/>
    <x:mergeCell ref="A224:H224"/>
    <x:mergeCell ref="B229:H229"/>
    <x:mergeCell ref="B230:H230"/>
    <x:mergeCell ref="B231:H231"/>
    <x:mergeCell ref="B232:H232"/>
    <x:mergeCell ref="A235:H235"/>
    <x:mergeCell ref="B240:H240"/>
    <x:mergeCell ref="B241:H241"/>
    <x:mergeCell ref="B242:H242"/>
    <x:mergeCell ref="B243:H243"/>
    <x:mergeCell ref="A246:H246"/>
    <x:mergeCell ref="B250:H250"/>
    <x:mergeCell ref="B251:H251"/>
    <x:mergeCell ref="B252:H252"/>
    <x:mergeCell ref="B253:H253"/>
    <x:mergeCell ref="A256:H256"/>
    <x:mergeCell ref="B261:H261"/>
    <x:mergeCell ref="B262:H262"/>
    <x:mergeCell ref="B263:H263"/>
    <x:mergeCell ref="B264:H264"/>
  </x:mergeCells>
  <x:dataValidations count="6">
    <x:dataValidation type="decimal" operator="between" sqref="F29">
      <x:formula1>0</x:formula1>
      <x:formula2>E29</x:formula2>
    </x:dataValidation>
    <x:dataValidation type="decimal" operator="between" sqref="F30">
      <x:formula1>0</x:formula1>
      <x:formula2>E30</x:formula2>
    </x:dataValidation>
    <x:dataValidation type="decimal" operator="greaterThan" sqref="C61:D62">
      <x:formula1>0</x:formula1>
    </x:dataValidation>
    <x:dataValidation type="decimal" operator="between" sqref="E61">
      <x:formula1>0</x:formula1>
      <x:formula2>C61*D61</x:formula2>
    </x:dataValidation>
    <x:dataValidation type="decimal" operator="between" sqref="E62">
      <x:formula1>0</x:formula1>
      <x:formula2>C62*D62</x:formula2>
    </x:dataValidation>
    <x:dataValidation type="decimal" operator="greaterThanOrEqual" sqref="D204:E205">
      <x:formula1>0</x:formula1>
    </x:dataValidation>
  </x:dataValidations>
  <x:pageMargins left="0.7" right="0.7" top="0.75" bottom="0.75" header="0.3" footer="0.3"/>
  <x:tableParts count="25">
    <x:tablePart xmlns:r="http://schemas.openxmlformats.org/officeDocument/2006/relationships" r:id="Rf41dc49ee43e4384"/>
    <x:tablePart xmlns:r="http://schemas.openxmlformats.org/officeDocument/2006/relationships" r:id="R048f9d66df674566"/>
    <x:tablePart xmlns:r="http://schemas.openxmlformats.org/officeDocument/2006/relationships" r:id="Rb80fead660d14efe"/>
    <x:tablePart xmlns:r="http://schemas.openxmlformats.org/officeDocument/2006/relationships" r:id="R824da059ec0c4f5b"/>
    <x:tablePart xmlns:r="http://schemas.openxmlformats.org/officeDocument/2006/relationships" r:id="R0691c3e0c8fd48f2"/>
    <x:tablePart xmlns:r="http://schemas.openxmlformats.org/officeDocument/2006/relationships" r:id="Rb69af1484dbc4138"/>
    <x:tablePart xmlns:r="http://schemas.openxmlformats.org/officeDocument/2006/relationships" r:id="R04a8551e25ce49eb"/>
    <x:tablePart xmlns:r="http://schemas.openxmlformats.org/officeDocument/2006/relationships" r:id="R941f2e733ddd474e"/>
    <x:tablePart xmlns:r="http://schemas.openxmlformats.org/officeDocument/2006/relationships" r:id="R49f3cbb562e04dab"/>
    <x:tablePart xmlns:r="http://schemas.openxmlformats.org/officeDocument/2006/relationships" r:id="R1f40954d07ac47bc"/>
    <x:tablePart xmlns:r="http://schemas.openxmlformats.org/officeDocument/2006/relationships" r:id="Rd9502ac2a9e040ea"/>
    <x:tablePart xmlns:r="http://schemas.openxmlformats.org/officeDocument/2006/relationships" r:id="R15b325f4afe44cad"/>
    <x:tablePart xmlns:r="http://schemas.openxmlformats.org/officeDocument/2006/relationships" r:id="Rbd4ad3987047415e"/>
    <x:tablePart xmlns:r="http://schemas.openxmlformats.org/officeDocument/2006/relationships" r:id="R058f39c2a41c4fb8"/>
    <x:tablePart xmlns:r="http://schemas.openxmlformats.org/officeDocument/2006/relationships" r:id="R51eecf0e34144c60"/>
    <x:tablePart xmlns:r="http://schemas.openxmlformats.org/officeDocument/2006/relationships" r:id="R0006733306e845b1"/>
    <x:tablePart xmlns:r="http://schemas.openxmlformats.org/officeDocument/2006/relationships" r:id="Rfd5d0b38b0b6421c"/>
    <x:tablePart xmlns:r="http://schemas.openxmlformats.org/officeDocument/2006/relationships" r:id="Ra651d2e3663748d2"/>
    <x:tablePart xmlns:r="http://schemas.openxmlformats.org/officeDocument/2006/relationships" r:id="R1d6754e25f9546e1"/>
    <x:tablePart xmlns:r="http://schemas.openxmlformats.org/officeDocument/2006/relationships" r:id="R8a45f87297274818"/>
    <x:tablePart xmlns:r="http://schemas.openxmlformats.org/officeDocument/2006/relationships" r:id="Rb82c15b227f04fca"/>
    <x:tablePart xmlns:r="http://schemas.openxmlformats.org/officeDocument/2006/relationships" r:id="Raf913ea156c14b03"/>
    <x:tablePart xmlns:r="http://schemas.openxmlformats.org/officeDocument/2006/relationships" r:id="R5b0002814426426a"/>
    <x:tablePart xmlns:r="http://schemas.openxmlformats.org/officeDocument/2006/relationships" r:id="Rf57162af08824d86"/>
    <x:tablePart xmlns:r="http://schemas.openxmlformats.org/officeDocument/2006/relationships" r:id="R471626f59a96435a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2" t="str">
        <x:v>Aturan edit dan validasi tabel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3" t="str">
        <x:v>Tabel anak mengikuti status dokumen induk. Sumber, saldo, pajak terhitung, snapshot HR, jurnal otomatis dan audit tidak menjadi sel editable untuk memaksa hasil.</x:v>
      </x:c>
      <x:c r="B2" s="23"/>
      <x:c r="C2" s="23"/>
      <x:c r="D2" s="23"/>
      <x:c r="E2" s="23"/>
      <x:c r="F2" s="23"/>
      <x:c r="G2" s="23"/>
      <x:c r="H2" s="23"/>
    </x:row>
    <x:row r="3" ht="22" customHeight="1">
      <x:c r="A3" s="23"/>
      <x:c r="B3" s="23"/>
      <x:c r="C3" s="23"/>
      <x:c r="D3" s="23"/>
      <x:c r="E3" s="23"/>
      <x:c r="F3" s="23"/>
      <x:c r="G3" s="23"/>
      <x:c r="H3" s="23"/>
    </x:row>
    <x:row r="5" ht="38" customHeight="1">
      <x:c r="A5" s="25" t="str">
        <x:v>Tabel</x:v>
      </x:c>
      <x:c r="B5" s="25" t="str">
        <x:v>Kunci baris</x:v>
      </x:c>
      <x:c r="C5" s="25" t="str">
        <x:v>Field editable</x:v>
      </x:c>
      <x:c r="D5" s="25" t="str">
        <x:v>Aksi baris</x:v>
      </x:c>
      <x:c r="E5" s="25" t="str">
        <x:v>Validasi</x:v>
      </x:c>
      <x:c r="F5" s="25" t="str">
        <x:v>Setelah submit</x:v>
      </x:c>
      <x:c r="G5" s="25" t="str">
        <x:v>Perilaku app</x:v>
      </x:c>
      <x:c r="H5" s="25" t="str">
        <x:v>Contoh Excel</x:v>
      </x:c>
    </x:row>
    <x:row r="6" ht="122" customHeight="1">
      <x:c r="A6" s="8" t="str">
        <x:v>S01 Dokumen pendukung</x:v>
      </x:c>
      <x:c r="B6" s="8" t="str">
        <x:v>ID baris + dokumen + versi; referensi sumber bila alokasi</x:v>
      </x:c>
      <x:c r="C6" s="8" t="str">
        <x:v>Unggah/ganti/hapus hanya lampiran draf berizin. Bukti pembayaran berasal dari payment yang sama.</x:v>
      </x:c>
      <x:c r="D6" s="8" t="str">
        <x:v>Unggah; pratinjau; unduh sesuai hak; tambah versi.</x:v>
      </x:c>
      <x:c r="E6" s="8" t="str">
        <x:v>Jenis/ukuran menurut konfigurasi; tampilkan progres/gagal unggah; dokumen wajib sesuai transaksi.</x:v>
      </x:c>
      <x:c r="F6" s="8" t="str">
        <x:v>Lampiran versi submitted/posted tidak dihapus diam-diam; revisi menambah versi.</x:v>
      </x:c>
      <x:c r="G6" s="8" t="str">
        <x:v>Editor sel sesuai tipe. Simpan eksplisit; perubahan draf belum posting. Validasi di baris dan ringkasan.</x:v>
      </x:c>
      <x:c r="H6" s="8" t="str">
        <x:v>Contoh baca; aturan editable aplikasi dijelaskan.</x:v>
      </x:c>
    </x:row>
    <x:row r="7" ht="122" customHeight="1">
      <x:c r="A7" s="8" t="str">
        <x:v>S02 Keputusan dan riwayat</x:v>
      </x:c>
      <x:c r="B7" s="8" t="str">
        <x:v>ID baris + dokumen + versi; referensi sumber bila alokasi</x:v>
      </x:c>
      <x:c r="C7" s="8" t="str">
        <x:v>Baca saja. Keputusan hanya melalui tombol/F01 berizin.</x:v>
      </x:c>
      <x:c r="D7" s="8" t="str">
        <x:v>Buka versi; bandingkan; buka keputusan.</x:v>
      </x:c>
      <x:c r="E7" s="8" t="str">
        <x:v>Versi, orang, waktu dan hasil tidak dapat diedit sebagai sel.</x:v>
      </x:c>
      <x:c r="F7" s="8" t="str">
        <x:v>Riwayat dipertahankan; keputusan versi lama tidak otomatis berlaku untuk revisi material.</x:v>
      </x:c>
      <x:c r="G7" s="8" t="str">
        <x:v>Editor sel sesuai tipe. Simpan eksplisit; perubahan draf belum posting. Validasi di baris dan ringkasan.</x:v>
      </x:c>
      <x:c r="H7" s="8" t="str">
        <x:v>Contoh baca; aturan editable aplikasi dijelaskan.</x:v>
      </x:c>
    </x:row>
    <x:row r="8" ht="122" customHeight="1">
      <x:c r="A8" s="8" t="str">
        <x:v>S03 Alokasi pembayaran / penerimaan</x:v>
      </x:c>
      <x:c r="B8" s="8" t="str">
        <x:v>ID baris + dokumen + versi; referensi sumber bila alokasi</x:v>
      </x:c>
      <x:c r="C8" s="8" t="str">
        <x:v>Pilih dokumen dan nominal alokasi saat draf; nominal sumber/sisa baca saja.</x:v>
      </x:c>
      <x:c r="D8" s="8" t="str">
        <x:v>Tambah sumber; ubah alokasi; hapus baris draf.</x:v>
      </x:c>
      <x:c r="E8" s="8" t="str">
        <x:v>Alokasi tidak melebihi sisa; total alokasi sesuai payment/receipt; pihak, unit, mata uang dan jenis kompatibel.</x:v>
      </x:c>
      <x:c r="F8" s="8" t="str">
        <x:v>Alokasi dieksekusi tidak diubah langsung; koreksi mengikuti payment dan dokumen asal.</x:v>
      </x:c>
      <x:c r="G8" s="8" t="str">
        <x:v>Editor sel sesuai tipe. Simpan eksplisit; perubahan draf belum posting. Validasi di baris dan ringkasan.</x:v>
      </x:c>
      <x:c r="H8" s="8" t="str">
        <x:v>Input kuning dan rumus aktif sebagai ilustrasi.</x:v>
      </x:c>
    </x:row>
    <x:row r="9" ht="122" customHeight="1">
      <x:c r="A9" s="8" t="str">
        <x:v>S04 Mutasi rekening / instrumen</x:v>
      </x:c>
      <x:c r="B9" s="8" t="str">
        <x:v>ID baris + dokumen + versi; referensi sumber bila alokasi</x:v>
      </x:c>
      <x:c r="C9" s="8" t="str">
        <x:v>Baca saja. Saldo dan mutasi berasal dari ledger/payment.</x:v>
      </x:c>
      <x:c r="D9" s="8" t="str">
        <x:v>Buka sumber; filter; telusuri giro/bank.</x:v>
      </x:c>
      <x:c r="E9" s="8" t="str">
        <x:v>Tanggal posisi, rekening dan unit harus jelas. Tidak menampilkan registered bank sebagai siap pakai tanpa pemetaan.</x:v>
      </x:c>
      <x:c r="F9" s="8" t="str">
        <x:v>Koreksi dari sumber; tidak edit saldo bank/kas manual untuk membuat cocok.</x:v>
      </x:c>
      <x:c r="G9" s="8" t="str">
        <x:v>Editor sel sesuai tipe. Simpan eksplisit; perubahan draf belum posting. Validasi di baris dan ringkasan.</x:v>
      </x:c>
      <x:c r="H9" s="8" t="str">
        <x:v>Contoh baca; aturan editable aplikasi dijelaskan.</x:v>
      </x:c>
    </x:row>
    <x:row r="10" ht="122" customHeight="1">
      <x:c r="A10" s="8" t="str">
        <x:v>S05 Pasangan rekonsiliasi bank</x:v>
      </x:c>
      <x:c r="B10" s="8" t="str">
        <x:v>ID baris + dokumen + versi; referensi sumber bila alokasi</x:v>
      </x:c>
      <x:c r="C10" s="8" t="str">
        <x:v>Pilih pasangan dan alokasi dari sisa; mutasi asli dan nilai buku baca saja.</x:v>
      </x:c>
      <x:c r="D10" s="8" t="str">
        <x:v>Cocokkan; lepas pasangan dengan alasan; buat transaksi sah dari baris bank.</x:v>
      </x:c>
      <x:c r="E10" s="8" t="str">
        <x:v>Arah/rekening benar; tanda nilai bank tetap; alokasi absolut tidak melampaui sisa; satu baris tidak digunakan ganda.</x:v>
      </x:c>
      <x:c r="F10" s="8" t="str">
        <x:v>Pasangan boleh dikoreksi sesuai mandat; jurnal tidak dihapus ketika pasangan dilepas.</x:v>
      </x:c>
      <x:c r="G10" s="8" t="str">
        <x:v>Editor sel sesuai tipe. Simpan eksplisit; perubahan draf belum posting. Validasi di baris dan ringkasan.</x:v>
      </x:c>
      <x:c r="H10" s="8" t="str">
        <x:v>Contoh baca; aturan editable aplikasi dijelaskan.</x:v>
      </x:c>
    </x:row>
    <x:row r="11" ht="122" customHeight="1">
      <x:c r="A11" s="8" t="str">
        <x:v>S06 Rincian tagihan / biaya / invoice</x:v>
      </x:c>
      <x:c r="B11" s="8" t="str">
        <x:v>ID baris + dokumen + versi; referensi sumber bila alokasi</x:v>
      </x:c>
      <x:c r="C11" s="8" t="str">
        <x:v>Uraian, kategori, qty, harga, potongan dan unit biaya hanya draf/dikembalikan; pajak di S07.</x:v>
      </x:c>
      <x:c r="D11" s="8" t="str">
        <x:v>Tambah; ubah; hapus baris draf; salin baris dengan review sumber.</x:v>
      </x:c>
      <x:c r="E11" s="8" t="str">
        <x:v>Kategori menentukan akun; qty/harga valid; potongan tidak melebihi bruto kecuali dokumen koreksi yang sah; sumber tidak ganda.</x:v>
      </x:c>
      <x:c r="F11" s="8" t="str">
        <x:v>Neto/total terhitung. Setelah diajukan terkunci; sesudah posted pakai koreksi sumber.</x:v>
      </x:c>
      <x:c r="G11" s="8" t="str">
        <x:v>Editor sel sesuai tipe. Simpan eksplisit; perubahan draf belum posting. Validasi di baris dan ringkasan.</x:v>
      </x:c>
      <x:c r="H11" s="8" t="str">
        <x:v>Input kuning dan rumus aktif sebagai ilustrasi.</x:v>
      </x:c>
    </x:row>
    <x:row r="12" ht="122" customHeight="1">
      <x:c r="A12" s="8" t="str">
        <x:v>S07 Rincian pajak / dokumen pajak</x:v>
      </x:c>
      <x:c r="B12" s="8" t="str">
        <x:v>ID baris + dokumen + versi; referensi sumber bila alokasi</x:v>
      </x:c>
      <x:c r="C12" s="8" t="str">
        <x:v>Jenis, referensi dan data dokumen sesuai mandat; tarif/nilai dari aturan/dokumen sah.</x:v>
      </x:c>
      <x:c r="D12" s="8" t="str">
        <x:v>Tautkan; cocokkan; buka sumber; usulkan pembetulan.</x:v>
      </x:c>
      <x:c r="E12" s="8" t="str">
        <x:v>Jangan mengarang tarif atau mengisi komponen belum dihitung dengan nol; cek nomor/masa/sumber duplikat.</x:v>
      </x:c>
      <x:c r="F12" s="8" t="str">
        <x:v>Kewajiban, bayar dan lapor terpisah; pembetulan tertaut versi lama.</x:v>
      </x:c>
      <x:c r="G12" s="8" t="str">
        <x:v>Editor sel sesuai tipe. Simpan eksplisit; perubahan draf belum posting. Validasi di baris dan ringkasan.</x:v>
      </x:c>
      <x:c r="H12" s="8" t="str">
        <x:v>Contoh baca; aturan editable aplikasi dijelaskan.</x:v>
      </x:c>
    </x:row>
    <x:row r="13" ht="122" customHeight="1">
      <x:c r="A13" s="8" t="str">
        <x:v>S08 Pertanggungjawaban uang muka</x:v>
      </x:c>
      <x:c r="B13" s="8" t="str">
        <x:v>ID baris + dokumen + versi; referensi sumber bila alokasi</x:v>
      </x:c>
      <x:c r="C13" s="8" t="str">
        <x:v>Biaya dan bukti di draf LIQ; pengembalian aktual membaca receipt.</x:v>
      </x:c>
      <x:c r="D13" s="8" t="str">
        <x:v>Tambah biaya; ajukan; tautkan pengembalian; buka sumber.</x:v>
      </x:c>
      <x:c r="E13" s="8" t="str">
        <x:v>Biaya aktual sesuai kategori; jangan hitung klaim yang sama dua kali; sisa ADV direkonsiliasi.</x:v>
      </x:c>
      <x:c r="F13" s="8" t="str">
        <x:v>Perubahan saldo berasal dari posting/alokasi; tidak tersedia tombol paksa lunas.</x:v>
      </x:c>
      <x:c r="G13" s="8" t="str">
        <x:v>Editor sel sesuai tipe. Simpan eksplisit; perubahan draf belum posting. Validasi di baris dan ringkasan.</x:v>
      </x:c>
      <x:c r="H13" s="8" t="str">
        <x:v>Contoh baca; aturan editable aplikasi dijelaskan.</x:v>
      </x:c>
    </x:row>
    <x:row r="14" ht="122" customHeight="1">
      <x:c r="A14" s="8" t="str">
        <x:v>S09 Jadwal pengakuan / amortisasi</x:v>
      </x:c>
      <x:c r="B14" s="8" t="str">
        <x:v>ID baris + dokumen + versi; referensi sumber bila alokasi</x:v>
      </x:c>
      <x:c r="C14" s="8" t="str">
        <x:v>Dasar/metode di form jadwal yang sah; baris terhitung tidak diedit bebas.</x:v>
      </x:c>
      <x:c r="D14" s="8" t="str">
        <x:v>Pratinjau; review; posting periode; buka jurnal.</x:v>
      </x:c>
      <x:c r="E14" s="8" t="str">
        <x:v>Total tidak melebihi dasar; masa manfaat jelas; satu jadwal/periode tidak diposting dua kali.</x:v>
      </x:c>
      <x:c r="F14" s="8" t="str">
        <x:v>Posted terkunci; revisi dasar menghasilkan jadwal versi baru dan koreksi yang sah.</x:v>
      </x:c>
      <x:c r="G14" s="8" t="str">
        <x:v>Editor sel sesuai tipe. Simpan eksplisit; perubahan draf belum posting. Validasi di baris dan ringkasan.</x:v>
      </x:c>
      <x:c r="H14" s="8" t="str">
        <x:v>Contoh baca; aturan editable aplikasi dijelaskan.</x:v>
      </x:c>
    </x:row>
    <x:row r="15" ht="122" customHeight="1">
      <x:c r="A15" s="8" t="str">
        <x:v>S10 Penjualan dan settlement kanal</x:v>
      </x:c>
      <x:c r="B15" s="8" t="str">
        <x:v>ID baris + dokumen + versi; referensi sumber bila alokasi</x:v>
      </x:c>
      <x:c r="C15" s="8" t="str">
        <x:v>Pilih sumber dan biaya statement pada draf settlement; bruto penjualan dan receipt aktual baca saja.</x:v>
      </x:c>
      <x:c r="D15" s="8" t="str">
        <x:v>Pasangkan transaksi; tinjau biaya; tautkan penerimaan.</x:v>
      </x:c>
      <x:c r="E15" s="8" t="str">
        <x:v>Bruto − biaya/potongan = neto; jumlah penerimaan harus direkonsiliasi; biaya tidak dibuat ulang sebagai tagihan.</x:v>
      </x:c>
      <x:c r="F15" s="8" t="str">
        <x:v>Settlement selesai tidak diubah langsung; koreksi mempertahankan hubungan sumber.</x:v>
      </x:c>
      <x:c r="G15" s="8" t="str">
        <x:v>Editor sel sesuai tipe. Simpan eksplisit; perubahan draf belum posting. Validasi di baris dan ringkasan.</x:v>
      </x:c>
      <x:c r="H15" s="8" t="str">
        <x:v>Contoh baca; aturan editable aplikasi dijelaskan.</x:v>
      </x:c>
    </x:row>
    <x:row r="16" ht="122" customHeight="1">
      <x:c r="A16" s="8" t="str">
        <x:v>S11 Rincian barang / opname</x:v>
      </x:c>
      <x:c r="B16" s="8" t="str">
        <x:v>ID baris + dokumen + versi; referensi sumber bila alokasi</x:v>
      </x:c>
      <x:c r="C16" s="8" t="str">
        <x:v>Qty aktual dari bukti operasi atau form opname berizin; qty buku/sumber dan selisih terhitung.</x:v>
      </x:c>
      <x:c r="D16" s="8" t="str">
        <x:v>Buka sumber; verifikasi; ajukan penyesuaian.</x:v>
      </x:c>
      <x:c r="E16" s="8" t="str">
        <x:v>Tanggal snapshot dan satuan konsisten; penerimaan parsial tidak melebihi sisa; metode penilaian sah.</x:v>
      </x:c>
      <x:c r="F16" s="8" t="str">
        <x:v>Posting hanya dari dokumen disetujui; tidak mengedit saldo stok langsung.</x:v>
      </x:c>
      <x:c r="G16" s="8" t="str">
        <x:v>Editor sel sesuai tipe. Simpan eksplisit; perubahan draf belum posting. Validasi di baris dan ringkasan.</x:v>
      </x:c>
      <x:c r="H16" s="8" t="str">
        <x:v>Contoh baca; aturan editable aplikasi dijelaskan.</x:v>
      </x:c>
    </x:row>
    <x:row r="17" ht="122" customHeight="1">
      <x:c r="A17" s="8" t="str">
        <x:v>S12 Pasangan dan saldo antarunit</x:v>
      </x:c>
      <x:c r="B17" s="8" t="str">
        <x:v>ID baris + dokumen + versi; referensi sumber bila alokasi</x:v>
      </x:c>
      <x:c r="C17" s="8" t="str">
        <x:v>Jenis/sumber pada draf transaksi; saldo dua pihak hasil posting baca saja.</x:v>
      </x:c>
      <x:c r="D17" s="8" t="str">
        <x:v>Buka sumber; pilih saldo untuk pelunasan; rekonsiliasi.</x:v>
      </x:c>
      <x:c r="E17" s="8" t="str">
        <x:v>Pendanaan memakai keluarga pendanaan, barang memakai barang; unit dan pihak lawan benar.</x:v>
      </x:c>
      <x:c r="F17" s="8" t="str">
        <x:v>Pelunasan mempertahankan jenis hubungan; tidak mengalihkan ke akun utang barang default.</x:v>
      </x:c>
      <x:c r="G17" s="8" t="str">
        <x:v>Editor sel sesuai tipe. Simpan eksplisit; perubahan draf belum posting. Validasi di baris dan ringkasan.</x:v>
      </x:c>
      <x:c r="H17" s="8" t="str">
        <x:v>Contoh baca; aturan editable aplikasi dijelaskan.</x:v>
      </x:c>
    </x:row>
    <x:row r="18" ht="122" customHeight="1">
      <x:c r="A18" s="8" t="str">
        <x:v>S13 Selisih rekonsiliasi</x:v>
      </x:c>
      <x:c r="B18" s="8" t="str">
        <x:v>ID baris + dokumen + versi; referensi sumber bila alokasi</x:v>
      </x:c>
      <x:c r="C18" s="8" t="str">
        <x:v>Penyebab, owner dan bukti; angka saldo/selisih baca saja.</x:v>
      </x:c>
      <x:c r="D18" s="8" t="str">
        <x:v>Tugaskan; buka sumber; ajukan review; selesaikan jika bukti sah.</x:v>
      </x:c>
      <x:c r="E18" s="8" t="str">
        <x:v>Tanggal/unit/versi sama; selisih dihitung, bukan diedit nol.</x:v>
      </x:c>
      <x:c r="F18" s="8" t="str">
        <x:v>Hasil review tersimpan dengan sumber; koreksi di dokumen yang salah.</x:v>
      </x:c>
      <x:c r="G18" s="8" t="str">
        <x:v>Editor sel sesuai tipe. Simpan eksplisit; perubahan draf belum posting. Validasi di baris dan ringkasan.</x:v>
      </x:c>
      <x:c r="H18" s="8" t="str">
        <x:v>Contoh baca; aturan editable aplikasi dijelaskan.</x:v>
      </x:c>
    </x:row>
    <x:row r="19" ht="122" customHeight="1">
      <x:c r="A19" s="8" t="str">
        <x:v>S14 Komponen dan pergerakan aset</x:v>
      </x:c>
      <x:c r="B19" s="8" t="str">
        <x:v>ID baris + dokumen + versi; referensi sumber bila alokasi</x:v>
      </x:c>
      <x:c r="C19" s="8" t="str">
        <x:v>Kelas/metode dan alokasi hanya draf kapitalisasi/perubahan berizin; nilai buku baca saja.</x:v>
      </x:c>
      <x:c r="D19" s="8" t="str">
        <x:v>Buka biaya; ajukan transfer; ajukan pelepasan.</x:v>
      </x:c>
      <x:c r="E19" s="8" t="str">
        <x:v>Biaya tidak dialokasikan dua kali; tanggal siap pakai dan kebijakan kelas jelas.</x:v>
      </x:c>
      <x:c r="F19" s="8" t="str">
        <x:v>Pelepasan/transfer membuat pergerakan tertaut; tidak mengganti saldo historis.</x:v>
      </x:c>
      <x:c r="G19" s="8" t="str">
        <x:v>Editor sel sesuai tipe. Simpan eksplisit; perubahan draf belum posting. Validasi di baris dan ringkasan.</x:v>
      </x:c>
      <x:c r="H19" s="8" t="str">
        <x:v>Contoh baca; aturan editable aplikasi dijelaskan.</x:v>
      </x:c>
    </x:row>
    <x:row r="20" ht="122" customHeight="1">
      <x:c r="A20" s="8" t="str">
        <x:v>S15 Alokasi biaya proyek</x:v>
      </x:c>
      <x:c r="B20" s="8" t="str">
        <x:v>ID baris + dokumen + versi; referensi sumber bila alokasi</x:v>
      </x:c>
      <x:c r="C20" s="8" t="str">
        <x:v>Pilih sumber, nilai alokasi dan tujuan pada draf.</x:v>
      </x:c>
      <x:c r="D20" s="8" t="str">
        <x:v>Tambah sumber; ubah; hapus draf; buka tagihan.</x:v>
      </x:c>
      <x:c r="E20" s="8" t="str">
        <x:v>Alokasi tidak melebihi sisa; biaya bank/biaya akuisisi mengikuti sumber yang sama bila relevan.</x:v>
      </x:c>
      <x:c r="F20" s="8" t="str">
        <x:v>Kapitalisasi posted terkunci; sisa biaya tetap terlihat dan perlu keputusan.</x:v>
      </x:c>
      <x:c r="G20" s="8" t="str">
        <x:v>Editor sel sesuai tipe. Simpan eksplisit; perubahan draf belum posting. Validasi di baris dan ringkasan.</x:v>
      </x:c>
      <x:c r="H20" s="8" t="str">
        <x:v>Contoh baca; aturan editable aplikasi dijelaskan.</x:v>
      </x:c>
    </x:row>
    <x:row r="21" ht="122" customHeight="1">
      <x:c r="A21" s="8" t="str">
        <x:v>S16 Batch payroll HR</x:v>
      </x:c>
      <x:c r="B21" s="8" t="str">
        <x:v>ID baris + dokumen + versi; referensi sumber bila alokasi</x:v>
      </x:c>
      <x:c r="C21" s="8" t="str">
        <x:v>Baca saja di Finance. Komponen HR tidak diedit di grid ini.</x:v>
      </x:c>
      <x:c r="D21" s="8" t="str">
        <x:v>Buka sumber; tinjau mapping; terima/kembalikan batch.</x:v>
      </x:c>
      <x:c r="E21" s="8" t="str">
        <x:v>Harus lengkap, approved, sealed; versi dan unit sama; tidak menggandakan kewajiban saat retry.</x:v>
      </x:c>
      <x:c r="F21" s="8" t="str">
        <x:v>Pembayaran melalui F02; revisi nominal kembali ke HR dengan versi yang disetujui.</x:v>
      </x:c>
      <x:c r="G21" s="8" t="str">
        <x:v>Editor sel sesuai tipe. Simpan eksplisit; perubahan draf belum posting. Validasi di baris dan ringkasan.</x:v>
      </x:c>
      <x:c r="H21" s="8" t="str">
        <x:v>Contoh baca; aturan editable aplikasi dijelaskan.</x:v>
      </x:c>
    </x:row>
    <x:row r="22" ht="122" customHeight="1">
      <x:c r="A22" s="8" t="str">
        <x:v>S17 Pelunasan payroll / pinjaman pegawai</x:v>
      </x:c>
      <x:c r="B22" s="8" t="str">
        <x:v>ID baris + dokumen + versi; referensi sumber bila alokasi</x:v>
      </x:c>
      <x:c r="C22" s="8" t="str">
        <x:v>Alokasi hanya bila sumber payroll/receipt aktual sah; jumlah batch sumber tidak diedit.</x:v>
      </x:c>
      <x:c r="D22" s="8" t="str">
        <x:v>Buka batch; tautkan potongan; alokasikan penerimaan.</x:v>
      </x:c>
      <x:c r="E22" s="8" t="str">
        <x:v>Potongan memiliki run/payment/jurnal; tidak melebihi sisa.</x:v>
      </x:c>
      <x:c r="F22" s="8" t="str">
        <x:v>Register dan GL berubah bersama sumber; tidak ada edit saldo lunas langsung.</x:v>
      </x:c>
      <x:c r="G22" s="8" t="str">
        <x:v>Editor sel sesuai tipe. Simpan eksplisit; perubahan draf belum posting. Validasi di baris dan ringkasan.</x:v>
      </x:c>
      <x:c r="H22" s="8" t="str">
        <x:v>Contoh baca; aturan editable aplikasi dijelaskan.</x:v>
      </x:c>
    </x:row>
    <x:row r="23" ht="122" customHeight="1">
      <x:c r="A23" s="8" t="str">
        <x:v>S18 Jadwal pinjaman / angsuran</x:v>
      </x:c>
      <x:c r="B23" s="8" t="str">
        <x:v>ID baris + dokumen + versi; referensi sumber bila alokasi</x:v>
      </x:c>
      <x:c r="C23" s="8" t="str">
        <x:v>Jadwal draf mengikuti kontrak; nilai sudah dibayar baca saja.</x:v>
      </x:c>
      <x:c r="D23" s="8" t="str">
        <x:v>Pratinjau; review perubahan kontrak; pilih angsuran untuk bayar.</x:v>
      </x:c>
      <x:c r="E23" s="8" t="str">
        <x:v>Pisahkan pokok/bunga/biaya; jumlah pokok tersisa masuk akal; bank/pemberi dana bukan default satu jenis.</x:v>
      </x:c>
      <x:c r="F23" s="8" t="str">
        <x:v>Perubahan kontrak berversi; payment tidak diubah dari tabel jadwal.</x:v>
      </x:c>
      <x:c r="G23" s="8" t="str">
        <x:v>Editor sel sesuai tipe. Simpan eksplisit; perubahan draf belum posting. Validasi di baris dan ringkasan.</x:v>
      </x:c>
      <x:c r="H23" s="8" t="str">
        <x:v>Contoh baca; aturan editable aplikasi dijelaskan.</x:v>
      </x:c>
    </x:row>
    <x:row r="24" ht="122" customHeight="1">
      <x:c r="A24" s="8" t="str">
        <x:v>S19 Perubahan ekuitas</x:v>
      </x:c>
      <x:c r="B24" s="8" t="str">
        <x:v>ID baris + dokumen + versi; referensi sumber bila alokasi</x:v>
      </x:c>
      <x:c r="C24" s="8" t="str">
        <x:v>Ringkasan baca saja; setoran/distribusi dibuat pada F28 berdasarkan keputusan.</x:v>
      </x:c>
      <x:c r="D24" s="8" t="str">
        <x:v>Buka transaksi pemilik; buka laporan hasil; buka periode.</x:v>
      </x:c>
      <x:c r="E24" s="8" t="str">
        <x:v>Hasil periode berasal dari GL/laporan, bukan input laba manual.</x:v>
      </x:c>
      <x:c r="F24" s="8" t="str">
        <x:v>Perubahan periode dan transaksi tetap mempunyai sumber yang dapat ditelusuri.</x:v>
      </x:c>
      <x:c r="G24" s="8" t="str">
        <x:v>Editor sel sesuai tipe. Simpan eksplisit; perubahan draf belum posting. Validasi di baris dan ringkasan.</x:v>
      </x:c>
      <x:c r="H24" s="8" t="str">
        <x:v>Contoh baca; aturan editable aplikasi dijelaskan.</x:v>
      </x:c>
    </x:row>
    <x:row r="25" ht="122" customHeight="1">
      <x:c r="A25" s="8" t="str">
        <x:v>S20 Baris jurnal</x:v>
      </x:c>
      <x:c r="B25" s="8" t="str">
        <x:v>ID baris + dokumen + versi; referensi sumber bila alokasi</x:v>
      </x:c>
      <x:c r="C25" s="8" t="str">
        <x:v>Hanya jurnal manual draf: akun, dimensi, debit/kredit, uraian. Jurnal otomatis baca saja dan dibuka ke sumber.</x:v>
      </x:c>
      <x:c r="D25" s="8" t="str">
        <x:v>Tambah baris; ubah; hapus draf; buka COA; pratinjau validasi.</x:v>
      </x:c>
      <x:c r="E25" s="8" t="str">
        <x:v>Tepat satu sisi positif per baris; debit = kredit; akun aktif/postable/unit sah; periode terbuka. Kode pada contoh adalah placeholder, bukan COA baru.</x:v>
      </x:c>
      <x:c r="F25" s="8" t="str">
        <x:v>Posted tidak diedit/hapus; pembalikan/koreksi tertaut. Semua jalur memakai guardrail ledger yang sama.</x:v>
      </x:c>
      <x:c r="G25" s="8" t="str">
        <x:v>Editor sel sesuai tipe. Simpan eksplisit; perubahan draf belum posting. Validasi di baris dan ringkasan.</x:v>
      </x:c>
      <x:c r="H25" s="8" t="str">
        <x:v>Input kuning dan rumus aktif sebagai ilustrasi.</x:v>
      </x:c>
    </x:row>
    <x:row r="26" ht="122" customHeight="1">
      <x:c r="A26" s="8" t="str">
        <x:v>S21 Checklist tutup buku</x:v>
      </x:c>
      <x:c r="B26" s="8" t="str">
        <x:v>ID baris + dokumen + versi; referensi sumber bila alokasi</x:v>
      </x:c>
      <x:c r="C26" s="8" t="str">
        <x:v>Owner dan bukti sesuai tugas; kesiapan dan jumlah masalah dibaca dari sumber.</x:v>
      </x:c>
      <x:c r="D26" s="8" t="str">
        <x:v>Buka masalah; ajukan review; konfirmasi tahap berizin.</x:v>
      </x:c>
      <x:c r="E26" s="8" t="str">
        <x:v>Tidak menandai selesai jika sumber belum lengkap; cakupan unit dan periode jelas.</x:v>
      </x:c>
      <x:c r="F26" s="8" t="str">
        <x:v>Saat tutup simpan jejak keputusan/bukti; buka ulang memerlukan alasan dan mandat.</x:v>
      </x:c>
      <x:c r="G26" s="8" t="str">
        <x:v>Editor sel sesuai tipe. Simpan eksplisit; perubahan draf belum posting. Validasi di baris dan ringkasan.</x:v>
      </x:c>
      <x:c r="H26" s="8" t="str">
        <x:v>Contoh baca; aturan editable aplikasi dijelaskan.</x:v>
      </x:c>
    </x:row>
    <x:row r="27" ht="122" customHeight="1">
      <x:c r="A27" s="8" t="str">
        <x:v>S22 Master, pemetaan dan versi</x:v>
      </x:c>
      <x:c r="B27" s="8" t="str">
        <x:v>ID baris + dokumen + versi; referensi sumber bila alokasi</x:v>
      </x:c>
      <x:c r="C27" s="8" t="str">
        <x:v>Nilai usulan draf dengan tipe sesuai master. Nilai kini dan riwayat baca saja.</x:v>
      </x:c>
      <x:c r="D27" s="8" t="str">
        <x:v>Ubah draf; lihat penggunaan; simulasikan jika rule; ajukan.</x:v>
      </x:c>
      <x:c r="E27" s="8" t="str">
        <x:v>Identitas kode sebagai teks; dimensi/unit/aktif/postable sah; masa berlaku tidak ambigu.</x:v>
      </x:c>
      <x:c r="F27" s="8" t="str">
        <x:v>Reviewer menyetujui; aktivasi/publikasi terpisah; histori tetap dipertahankan.</x:v>
      </x:c>
      <x:c r="G27" s="8" t="str">
        <x:v>Editor sel sesuai tipe. Simpan eksplisit; perubahan draf belum posting. Validasi di baris dan ringkasan.</x:v>
      </x:c>
      <x:c r="H27" s="8" t="str">
        <x:v>Contoh baca; aturan editable aplikasi dijelaskan.</x:v>
      </x:c>
    </x:row>
    <x:row r="28" ht="122" customHeight="1">
      <x:c r="A28" s="8" t="str">
        <x:v>S23 Pratinjau impor</x:v>
      </x:c>
      <x:c r="B28" s="8" t="str">
        <x:v>ID baris + dokumen + versi; referensi sumber bila alokasi</x:v>
      </x:c>
      <x:c r="C28" s="8" t="str">
        <x:v>Pemetaan kolom/pengecualian sesuai prosedur; data sumber tidak diubah diam-diam.</x:v>
      </x:c>
      <x:c r="D28" s="8" t="str">
        <x:v>Pratinjau; sertakan valid; unduh kesalahan; batalkan.</x:v>
      </x:c>
      <x:c r="E28" s="8" t="str">
        <x:v>Duplikat/format/unit/dimensi diperiksa; hasil parsial jelas per baris.</x:v>
      </x:c>
      <x:c r="F28" s="8" t="str">
        <x:v>Konfirmasi hanya baris yang sah; retry tidak menduplikasi transaksi sebelumnya.</x:v>
      </x:c>
      <x:c r="G28" s="8" t="str">
        <x:v>Editor sel sesuai tipe. Simpan eksplisit; perubahan draf belum posting. Validasi di baris dan ringkasan.</x:v>
      </x:c>
      <x:c r="H28" s="8" t="str">
        <x:v>Contoh baca; aturan editable aplikasi dijelaskan.</x:v>
      </x:c>
    </x:row>
    <x:row r="29" ht="122" customHeight="1">
      <x:c r="A29" s="8" t="str">
        <x:v>S24 Rincian laporan / buku besar</x:v>
      </x:c>
      <x:c r="B29" s="8" t="str">
        <x:v>ID baris + dokumen + versi; referensi sumber bila alokasi</x:v>
      </x:c>
      <x:c r="C29" s="8" t="str">
        <x:v>Baca saja. Filter/periode/unit dan kolom tampilan dapat dipilih.</x:v>
      </x:c>
      <x:c r="D29" s="8" t="str">
        <x:v>Telusuri pos → akun → jurnal → dokumen; ekspor sesuai izin.</x:v>
      </x:c>
      <x:c r="E29" s="8" t="str">
        <x:v>Angka mencakup seluruh filter, bukan hanya halaman terlihat; sumber dan versi jelas.</x:v>
      </x:c>
      <x:c r="F29" s="8" t="str">
        <x:v>Koreksi di dokumen sumber; laporan tidak membuat transaksi baru.</x:v>
      </x:c>
      <x:c r="G29" s="8" t="str">
        <x:v>Editor sel sesuai tipe. Simpan eksplisit; perubahan draf belum posting. Validasi di baris dan ringkasan.</x:v>
      </x:c>
      <x:c r="H29" s="8" t="str">
        <x:v>Contoh baca; aturan editable aplikasi dijelaskan.</x:v>
      </x:c>
    </x:row>
    <x:row r="30" ht="122" customHeight="1">
      <x:c r="A30" s="8" t="str">
        <x:v>S25 Cakupan konsolidasi / eliminasi</x:v>
      </x:c>
      <x:c r="B30" s="8" t="str">
        <x:v>ID baris + dokumen + versi; referensi sumber bila alokasi</x:v>
      </x:c>
      <x:c r="C30" s="8" t="str">
        <x:v>Cakupan unit sebagai filter berizin; nilai eliminasi bukan edit bebas laporan.</x:v>
      </x:c>
      <x:c r="D30" s="8" t="str">
        <x:v>Pilih unit; buka pasangan; tinjau sumber eliminasi.</x:v>
      </x:c>
      <x:c r="E30" s="8" t="str">
        <x:v>Semua unit terpilih dihitung; kesiapan eksplisit; eliminasi punya dasar pencatatan sah.</x:v>
      </x:c>
      <x:c r="F30" s="8" t="str">
        <x:v>Hasil terbit menyimpan cakupan/versi; tidak hardcode hanya tiga unit.</x:v>
      </x:c>
      <x:c r="G30" s="8" t="str">
        <x:v>Editor sel sesuai tipe. Simpan eksplisit; perubahan draf belum posting. Validasi di baris dan ringkasan.</x:v>
      </x:c>
      <x:c r="H30" s="8" t="str">
        <x:v>Contoh baca; aturan editable aplikasi dijelaskan.</x:v>
      </x:c>
    </x:row>
    <x:row r="33" ht="28" customHeight="1">
      <x:c r="A33" s="27" t="str">
        <x:v>Aturan interaksi bersama</x:v>
      </x:c>
      <x:c r="B33" s="27" t="str">
        <x:v>Aturan interaksi bersama</x:v>
      </x:c>
      <x:c r="C33" s="27" t="str">
        <x:v>Aturan interaksi bersama</x:v>
      </x:c>
      <x:c r="D33" s="27" t="str">
        <x:v>Aturan interaksi bersama</x:v>
      </x:c>
      <x:c r="E33" s="27" t="str">
        <x:v>Aturan interaksi bersama</x:v>
      </x:c>
      <x:c r="F33" s="27" t="str">
        <x:v>Aturan interaksi bersama</x:v>
      </x:c>
      <x:c r="G33" s="27" t="str">
        <x:v>Aturan interaksi bersama</x:v>
      </x:c>
      <x:c r="H33" s="27" t="str">
        <x:v>Aturan interaksi bersama</x:v>
      </x:c>
    </x:row>
    <x:row r="34" ht="38" customHeight="1">
      <x:c r="A34" s="25" t="str">
        <x:v>Keadaan</x:v>
      </x:c>
      <x:c r="B34" s="25" t="str">
        <x:v>Tampilan</x:v>
      </x:c>
      <x:c r="C34" s="25" t="str">
        <x:v>Perilaku</x:v>
      </x:c>
    </x:row>
    <x:row r="35" ht="72" customHeight="1">
      <x:c r="A35" s="8" t="str">
        <x:v>Tambah baris</x:v>
      </x:c>
      <x:c r="B35" s="8" t="str">
        <x:v>Baris draf dengan field wajib</x:v>
      </x:c>
      <x:c r="C35" s="8" t="str">
        <x:v>Belum memengaruhi sumber final; tambah/undo sesuai izin</x:v>
      </x:c>
    </x:row>
    <x:row r="36" ht="72" customHeight="1">
      <x:c r="A36" s="8" t="str">
        <x:v>Hapus</x:v>
      </x:c>
      <x:c r="B36" s="8" t="str">
        <x:v>Aksi pada baris draf</x:v>
      </x:c>
      <x:c r="C36" s="8" t="str">
        <x:v>Baris posted/disetujui melalui koreksi; riwayat tidak dihapus</x:v>
      </x:c>
    </x:row>
    <x:row r="37" ht="72" customHeight="1">
      <x:c r="A37" s="8" t="str">
        <x:v>Pilih banyak</x:v>
      </x:c>
      <x:c r="B37" s="8" t="str">
        <x:v>Jumlah dan cakupan pilihan</x:v>
      </x:c>
      <x:c r="C37" s="8" t="str">
        <x:v>Aksi massal hanya jika setiap baris memenuhi izin/status; hasil parsial dijelaskan</x:v>
      </x:c>
    </x:row>
    <x:row r="38" ht="72" customHeight="1">
      <x:c r="A38" s="8" t="str">
        <x:v>Simpan gagal</x:v>
      </x:c>
      <x:c r="B38" s="8" t="str">
        <x:v>Error per sel/baris dan ringkasan</x:v>
      </x:c>
      <x:c r="C38" s="8" t="str">
        <x:v>Input tidak hilang; fokus ke kesalahan; jangan menutup form</x:v>
      </x:c>
    </x:row>
    <x:row r="39" ht="72" customHeight="1">
      <x:c r="A39" s="8" t="str">
        <x:v>Versi berubah</x:v>
      </x:c>
      <x:c r="B39" s="8" t="str">
        <x:v>Pemberitahuan konflik</x:v>
      </x:c>
      <x:c r="C39" s="8" t="str">
        <x:v>Tinjau versi terbaru dan bandingkan perubahan; jangan menimpa keputusan orang lain</x:v>
      </x:c>
    </x:row>
    <x:row r="40" ht="72" customHeight="1">
      <x:c r="A40" s="8" t="str">
        <x:v>Pengiriman tak pasti</x:v>
      </x:c>
      <x:c r="B40" s="8" t="str">
        <x:v>Sedang diperiksa / gagal dengan alasan</x:v>
      </x:c>
      <x:c r="C40" s="8" t="str">
        <x:v>Periksa hasil berdasarkan ID sama sebelum retry; cegah double payment/posting</x:v>
      </x:c>
    </x:row>
    <x:row r="41" ht="72" customHeight="1">
      <x:c r="A41" s="8" t="str">
        <x:v>Banyak baris</x:v>
      </x:c>
      <x:c r="B41" s="8" t="str">
        <x:v>Cari, filter dan pemuatan bertahap</x:v>
      </x:c>
      <x:c r="C41" s="8" t="str">
        <x:v>Total menjelaskan cakupan seluruh dokumen atau filter, bukan hanya halaman terlihat</x:v>
      </x:c>
    </x:row>
    <x:row r="42" ht="72" customHeight="1">
      <x:c r="A42" s="8" t="str">
        <x:v>Tidak punya akses</x:v>
      </x:c>
      <x:c r="B42" s="8" t="str">
        <x:v>Data/tindakan terbatas</x:v>
      </x:c>
      <x:c r="C42" s="8" t="str">
        <x:v>Izin diterapkan di server dan ekspor, bukan hanya menyembunyikan tombol</x:v>
      </x:c>
    </x:row>
    <x:row r="43" ht="72" customHeight="1">
      <x:c r="A43" s="8" t="str">
        <x:v>Belum siap</x:v>
      </x:c>
      <x:c r="B43" s="8" t="str">
        <x:v>Tombol nonaktif + alasan</x:v>
      </x:c>
      <x:c r="C43" s="8" t="str">
        <x:v>Contoh: akun belum terpetakan, periode tertutup, payroll belum sealed</x:v>
      </x:c>
    </x:row>
    <x:row r="44" ht="72" customHeight="1">
      <x:c r="A44" s="8" t="str">
        <x:v>Belum ada data</x:v>
      </x:c>
      <x:c r="B44" s="8" t="str">
        <x:v>Kosong dengan tindakan relevan</x:v>
      </x:c>
      <x:c r="C44" s="8" t="str">
        <x:v>Tidak mengganti ketidaktersediaan dengan nol atau angka contoh sebagai data nyata</x:v>
      </x:c>
    </x:row>
    <x:row r="45" ht="72" customHeight="1">
      <x:c r="A45" s="8" t="str">
        <x:v>Buka sumber lain</x:v>
      </x:c>
      <x:c r="B45" s="8" t="str">
        <x:v>Tautan dokumen asli</x:v>
      </x:c>
      <x:c r="C45" s="8" t="str">
        <x:v>Kembali mempertahankan filter/posisi daftar; hindari sidebar bertumpuk tanpa batas</x:v>
      </x:c>
    </x:row>
  </x:sheetData>
  <x:mergeCells>
    <x:mergeCell ref="A1:H1"/>
    <x:mergeCell ref="A2:H3"/>
    <x:mergeCell ref="A33:H33"/>
  </x:mergeCells>
  <x:pageMargins left="0.7" right="0.7" top="0.75" bottom="0.75" header="0.3" footer="0.3"/>
  <x:tableParts count="2">
    <x:tablePart xmlns:r="http://schemas.openxmlformats.org/officeDocument/2006/relationships" r:id="R8a9d19279b984495"/>
    <x:tablePart xmlns:r="http://schemas.openxmlformats.org/officeDocument/2006/relationships" r:id="Rbb645d02993c4c07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2" t="str">
        <x:v>Contoh detail, form dan pembayaran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3" t="str">
        <x:v>Ilustrasi tagihan. Kiri: daftar. Kanan: panel detail yang berganti mode ketika form dibuka. Tombol adalah label desain, bukan tindakan aplikasi; angka hanya contoh.</x:v>
      </x:c>
      <x:c r="B2" s="23"/>
      <x:c r="C2" s="23"/>
      <x:c r="D2" s="23"/>
      <x:c r="E2" s="23"/>
      <x:c r="F2" s="23"/>
      <x:c r="G2" s="23"/>
      <x:c r="H2" s="23"/>
    </x:row>
    <x:row r="3" ht="22" customHeight="1">
      <x:c r="A3" s="23"/>
      <x:c r="B3" s="23"/>
      <x:c r="C3" s="23"/>
      <x:c r="D3" s="23"/>
      <x:c r="E3" s="23"/>
      <x:c r="F3" s="23"/>
      <x:c r="G3" s="23"/>
      <x:c r="H3" s="23"/>
    </x:row>
    <x:row r="5" ht="28" customHeight="1">
      <x:c r="A5" s="25" t="str">
        <x:v>Tagihan</x:v>
      </x:c>
      <x:c r="B5" s="25" t="str">
        <x:v>Vendor</x:v>
      </x:c>
      <x:c r="C5" s="25" t="str">
        <x:v>Total Rp</x:v>
      </x:c>
      <x:c r="D5" s="25" t="str">
        <x:v>Status</x:v>
      </x:c>
      <x:c r="F5" s="36" t="str">
        <x:v>DETAIL TAGIHAN                              Tutup ×</x:v>
      </x:c>
      <x:c r="G5" s="36" t="str">
        <x:v>DETAIL TAGIHAN                              Tutup ×</x:v>
      </x:c>
      <x:c r="H5" s="36" t="str">
        <x:v>DETAIL TAGIHAN                              Tutup ×</x:v>
      </x:c>
    </x:row>
    <x:row r="6" ht="28" customHeight="1">
      <x:c r="A6" s="8" t="str">
        <x:v>UI-BILL-001</x:v>
      </x:c>
      <x:c r="B6" s="8" t="str">
        <x:v>Vendor A</x:v>
      </x:c>
      <x:c r="C6" s="18" t="n">
        <x:v>2500000</x:v>
      </x:c>
      <x:c r="D6" s="8" t="str">
        <x:v>Disetujui</x:v>
      </x:c>
      <x:c r="F6" s="40" t="str">
        <x:v>UI-BILL-001 · HO · v2</x:v>
      </x:c>
      <x:c r="G6" s="40" t="str">
        <x:v>UI-BILL-001 · HO · v2</x:v>
      </x:c>
      <x:c r="H6" s="40" t="str">
        <x:v>UI-BILL-001 · HO · v2</x:v>
      </x:c>
    </x:row>
    <x:row r="7" ht="28" customHeight="1">
      <x:c r="A7" s="8" t="str">
        <x:v>UI-BILL-002</x:v>
      </x:c>
      <x:c r="B7" s="8" t="str">
        <x:v>Vendor B</x:v>
      </x:c>
      <x:c r="C7" s="18" t="n">
        <x:v>1500000</x:v>
      </x:c>
      <x:c r="D7" s="8" t="str">
        <x:v>Draf</x:v>
      </x:c>
      <x:c r="F7" s="44" t="str">
        <x:v>Disetujui · Tercatat · Belum dibayar</x:v>
      </x:c>
      <x:c r="G7" s="44" t="str">
        <x:v>Disetujui · Tercatat · Belum dibayar</x:v>
      </x:c>
      <x:c r="H7" s="44" t="str">
        <x:v>Disetujui · Tercatat · Belum dibayar</x:v>
      </x:c>
    </x:row>
    <x:row r="8" ht="28" customHeight="1">
      <x:c r="F8" s="47" t="str">
        <x:v>Ringkasan  Rincian  Pembayaran  Jurnal  Riwayat</x:v>
      </x:c>
      <x:c r="G8" s="47" t="str">
        <x:v>Ringkasan  Rincian  Pembayaran  Jurnal  Riwayat</x:v>
      </x:c>
      <x:c r="H8" s="47" t="str">
        <x:v>Ringkasan  Rincian  Pembayaran  Jurnal  Riwayat</x:v>
      </x:c>
    </x:row>
    <x:row r="9" ht="28" customHeight="1">
      <x:c r="F9" s="40" t="str">
        <x:v>Vendor</x:v>
      </x:c>
      <x:c r="G9" s="50" t="str">
        <x:v>Vendor A</x:v>
      </x:c>
      <x:c r="H9" s="50" t="str">
        <x:v>Vendor A</x:v>
      </x:c>
    </x:row>
    <x:row r="10" ht="28" customHeight="1">
      <x:c r="F10" s="40" t="str">
        <x:v>Jatuh tempo</x:v>
      </x:c>
      <x:c r="G10" s="50" t="str">
        <x:v>Tanggal jatuh tempo</x:v>
      </x:c>
      <x:c r="H10" s="50" t="str">
        <x:v>Tanggal jatuh tempo</x:v>
      </x:c>
    </x:row>
    <x:row r="11" ht="28" customHeight="1">
      <x:c r="F11" s="47" t="str">
        <x:v>Rincian tagihan</x:v>
      </x:c>
      <x:c r="G11" s="47" t="str">
        <x:v>Rincian tagihan</x:v>
      </x:c>
      <x:c r="H11" s="47" t="str">
        <x:v>Rincian tagihan</x:v>
      </x:c>
    </x:row>
    <x:row r="12" ht="28" customHeight="1">
      <x:c r="F12" s="50" t="str">
        <x:v>Jasa pemeliharaan</x:v>
      </x:c>
      <x:c r="G12" s="50" t="str">
        <x:v>Jasa pemeliharaan</x:v>
      </x:c>
      <x:c r="H12" s="51" t="n">
        <x:v>2000000</x:v>
      </x:c>
    </x:row>
    <x:row r="13" ht="28" customHeight="1">
      <x:c r="F13" s="50" t="str">
        <x:v>Bahan operasional</x:v>
      </x:c>
      <x:c r="G13" s="50" t="str">
        <x:v>Bahan operasional</x:v>
      </x:c>
      <x:c r="H13" s="51" t="n">
        <x:v>500000</x:v>
      </x:c>
    </x:row>
    <x:row r="14" ht="28" customHeight="1">
      <x:c r="F14" s="40" t="str">
        <x:v>Total / sisa Rp</x:v>
      </x:c>
      <x:c r="G14" s="40" t="str">
        <x:v>Total / sisa Rp</x:v>
      </x:c>
      <x:c r="H14" s="51" t="n">
        <x:f>SUM(H12:H13)</x:f>
        <x:v>2500000</x:v>
      </x:c>
    </x:row>
    <x:row r="15" ht="28" customHeight="1">
      <x:c r="F15" s="50" t="str">
        <x:v>Contoh sederhana tanpa komponen pajak. Dokumen nyata mengikuti pajak/potongan yang berlaku pada sumber.</x:v>
      </x:c>
      <x:c r="G15" s="50" t="str">
        <x:v>Contoh sederhana tanpa komponen pajak. Dokumen nyata mengikuti pajak/potongan yang berlaku pada sumber.</x:v>
      </x:c>
      <x:c r="H15" s="50" t="str">
        <x:v>Contoh sederhana tanpa komponen pajak. Dokumen nyata mengikuti pajak/potongan yang berlaku pada sumber.</x:v>
      </x:c>
    </x:row>
    <x:row r="16" ht="28" customHeight="1">
      <x:c r="F16" s="50" t="str">
        <x:v>Contoh sederhana tanpa komponen pajak. Dokumen nyata mengikuti pajak/potongan yang berlaku pada sumber.</x:v>
      </x:c>
      <x:c r="G16" s="50" t="str">
        <x:v>Contoh sederhana tanpa komponen pajak. Dokumen nyata mengikuti pajak/potongan yang berlaku pada sumber.</x:v>
      </x:c>
      <x:c r="H16" s="50" t="str">
        <x:v>Contoh sederhana tanpa komponen pajak. Dokumen nyata mengikuti pajak/potongan yang berlaku pada sumber.</x:v>
      </x:c>
    </x:row>
    <x:row r="17" ht="28" customHeight="1">
      <x:c r="F17" s="50" t="str">
        <x:v>Pembayaran: belum ada. Sesudah Bayar, PAY yang sama muncul di sini dan di Kas &amp; Bank.</x:v>
      </x:c>
      <x:c r="G17" s="50" t="str">
        <x:v>Pembayaran: belum ada. Sesudah Bayar, PAY yang sama muncul di sini dan di Kas &amp; Bank.</x:v>
      </x:c>
      <x:c r="H17" s="50" t="str">
        <x:v>Pembayaran: belum ada. Sesudah Bayar, PAY yang sama muncul di sini dan di Kas &amp; Bank.</x:v>
      </x:c>
    </x:row>
    <x:row r="18" ht="28" customHeight="1">
      <x:c r="F18" s="50" t="str">
        <x:v>Pembayaran: belum ada. Sesudah Bayar, PAY yang sama muncul di sini dan di Kas &amp; Bank.</x:v>
      </x:c>
      <x:c r="G18" s="50" t="str">
        <x:v>Pembayaran: belum ada. Sesudah Bayar, PAY yang sama muncul di sini dan di Kas &amp; Bank.</x:v>
      </x:c>
      <x:c r="H18" s="50" t="str">
        <x:v>Pembayaran: belum ada. Sesudah Bayar, PAY yang sama muncul di sini dan di Kas &amp; Bank.</x:v>
      </x:c>
    </x:row>
    <x:row r="19" ht="28" customHeight="1">
      <x:c r="F19" s="50" t="str">
        <x:v>Tagihan sudah tercatat: rincian baca saja. Koreksi melalui dokumen yang tertaut, bukan edit angka langsung.</x:v>
      </x:c>
      <x:c r="G19" s="50" t="str">
        <x:v>Tagihan sudah tercatat: rincian baca saja. Koreksi melalui dokumen yang tertaut, bukan edit angka langsung.</x:v>
      </x:c>
      <x:c r="H19" s="50" t="str">
        <x:v>Tagihan sudah tercatat: rincian baca saja. Koreksi melalui dokumen yang tertaut, bukan edit angka langsung.</x:v>
      </x:c>
    </x:row>
    <x:row r="20" ht="28" customHeight="1">
      <x:c r="F20" s="50" t="str">
        <x:v>Tagihan sudah tercatat: rincian baca saja. Koreksi melalui dokumen yang tertaut, bukan edit angka langsung.</x:v>
      </x:c>
      <x:c r="G20" s="50" t="str">
        <x:v>Tagihan sudah tercatat: rincian baca saja. Koreksi melalui dokumen yang tertaut, bukan edit angka langsung.</x:v>
      </x:c>
      <x:c r="H20" s="50" t="str">
        <x:v>Tagihan sudah tercatat: rincian baca saja. Koreksi melalui dokumen yang tertaut, bukan edit angka langsung.</x:v>
      </x:c>
    </x:row>
    <x:row r="22" ht="28" customHeight="1">
      <x:c r="F22" s="36" t="str">
        <x:v>Bayar → F02</x:v>
      </x:c>
      <x:c r="G22" s="36" t="str">
        <x:v>Bayar → F02</x:v>
      </x:c>
      <x:c r="H22" s="47" t="str">
        <x:v>Buka jurnal</x:v>
      </x:c>
    </x:row>
    <x:row r="23" ht="28" customHeight="1">
      <x:c r="F23" s="50" t="str">
        <x:v>Tindakan lain: Ajukan koreksi / pembalikan</x:v>
      </x:c>
      <x:c r="G23" s="50" t="str">
        <x:v>Tindakan lain: Ajukan koreksi / pembalikan</x:v>
      </x:c>
      <x:c r="H23" s="50" t="str">
        <x:v>Tindakan lain: Ajukan koreksi / pembalikan</x:v>
      </x:c>
    </x:row>
    <x:row r="26" ht="28" customHeight="1">
      <x:c r="A26" s="47" t="str">
        <x:v>Keadaan alternatif: form tagihan draf atau dikembalikan</x:v>
      </x:c>
      <x:c r="B26" s="47" t="str">
        <x:v>Keadaan alternatif: form tagihan draf atau dikembalikan</x:v>
      </x:c>
      <x:c r="C26" s="47" t="str">
        <x:v>Keadaan alternatif: form tagihan draf atau dikembalikan</x:v>
      </x:c>
      <x:c r="D26" s="47" t="str">
        <x:v>Keadaan alternatif: form tagihan draf atau dikembalikan</x:v>
      </x:c>
      <x:c r="E26" s="47" t="str">
        <x:v>Keadaan alternatif: form tagihan draf atau dikembalikan</x:v>
      </x:c>
      <x:c r="F26" s="47" t="str">
        <x:v>Keadaan alternatif: form tagihan draf atau dikembalikan</x:v>
      </x:c>
      <x:c r="G26" s="47" t="str">
        <x:v>Keadaan alternatif: form tagihan draf atau dikembalikan</x:v>
      </x:c>
      <x:c r="H26" s="47" t="str">
        <x:v>Keadaan alternatif: form tagihan draf atau dikembalikan</x:v>
      </x:c>
    </x:row>
    <x:row r="28" ht="28" customHeight="1">
      <x:c r="A28" s="50" t="str">
        <x:v>Detail berubah menjadi mode FORM. Contoh pada kanan memperlihatkan field dan tabel rincian editable. Form tidak terbuka bersamaan dengan detail aktif di atas.</x:v>
      </x:c>
      <x:c r="B28" s="50" t="str">
        <x:v>Detail berubah menjadi mode FORM. Contoh pada kanan memperlihatkan field dan tabel rincian editable. Form tidak terbuka bersamaan dengan detail aktif di atas.</x:v>
      </x:c>
      <x:c r="C28" s="50" t="str">
        <x:v>Detail berubah menjadi mode FORM. Contoh pada kanan memperlihatkan field dan tabel rincian editable. Form tidak terbuka bersamaan dengan detail aktif di atas.</x:v>
      </x:c>
      <x:c r="D28" s="50" t="str">
        <x:v>Detail berubah menjadi mode FORM. Contoh pada kanan memperlihatkan field dan tabel rincian editable. Form tidak terbuka bersamaan dengan detail aktif di atas.</x:v>
      </x:c>
      <x:c r="F28" s="36" t="str">
        <x:v>UBAH TAGIHAN                              Batal ×</x:v>
      </x:c>
      <x:c r="G28" s="36" t="str">
        <x:v>UBAH TAGIHAN                              Batal ×</x:v>
      </x:c>
      <x:c r="H28" s="36" t="str">
        <x:v>UBAH TAGIHAN                              Batal ×</x:v>
      </x:c>
    </x:row>
    <x:row r="29" ht="28" customHeight="1">
      <x:c r="A29" s="50" t="str">
        <x:v>Detail berubah menjadi mode FORM. Contoh pada kanan memperlihatkan field dan tabel rincian editable. Form tidak terbuka bersamaan dengan detail aktif di atas.</x:v>
      </x:c>
      <x:c r="B29" s="50" t="str">
        <x:v>Detail berubah menjadi mode FORM. Contoh pada kanan memperlihatkan field dan tabel rincian editable. Form tidak terbuka bersamaan dengan detail aktif di atas.</x:v>
      </x:c>
      <x:c r="C29" s="50" t="str">
        <x:v>Detail berubah menjadi mode FORM. Contoh pada kanan memperlihatkan field dan tabel rincian editable. Form tidak terbuka bersamaan dengan detail aktif di atas.</x:v>
      </x:c>
      <x:c r="D29" s="50" t="str">
        <x:v>Detail berubah menjadi mode FORM. Contoh pada kanan memperlihatkan field dan tabel rincian editable. Form tidak terbuka bersamaan dengan detail aktif di atas.</x:v>
      </x:c>
      <x:c r="F29" s="50" t="str">
        <x:v>UI-BILL-002 · HO · draf</x:v>
      </x:c>
      <x:c r="G29" s="50" t="str">
        <x:v>UI-BILL-002 · HO · draf</x:v>
      </x:c>
      <x:c r="H29" s="50" t="str">
        <x:v>UI-BILL-002 · HO · draf</x:v>
      </x:c>
    </x:row>
    <x:row r="30" ht="28" customHeight="1">
      <x:c r="A30" s="50" t="str">
        <x:v>Detail berubah menjadi mode FORM. Contoh pada kanan memperlihatkan field dan tabel rincian editable. Form tidak terbuka bersamaan dengan detail aktif di atas.</x:v>
      </x:c>
      <x:c r="B30" s="50" t="str">
        <x:v>Detail berubah menjadi mode FORM. Contoh pada kanan memperlihatkan field dan tabel rincian editable. Form tidak terbuka bersamaan dengan detail aktif di atas.</x:v>
      </x:c>
      <x:c r="C30" s="50" t="str">
        <x:v>Detail berubah menjadi mode FORM. Contoh pada kanan memperlihatkan field dan tabel rincian editable. Form tidak terbuka bersamaan dengan detail aktif di atas.</x:v>
      </x:c>
      <x:c r="D30" s="50" t="str">
        <x:v>Detail berubah menjadi mode FORM. Contoh pada kanan memperlihatkan field dan tabel rincian editable. Form tidak terbuka bersamaan dengan detail aktif di atas.</x:v>
      </x:c>
      <x:c r="F30" s="40" t="str">
        <x:v>Vendor *</x:v>
      </x:c>
      <x:c r="G30" s="44" t="str">
        <x:v>Vendor B ▾</x:v>
      </x:c>
      <x:c r="H30" s="44" t="str">
        <x:v>Vendor B ▾</x:v>
      </x:c>
    </x:row>
    <x:row r="31" ht="28" customHeight="1">
      <x:c r="A31" s="50" t="str">
        <x:v>Detail berubah menjadi mode FORM. Contoh pada kanan memperlihatkan field dan tabel rincian editable. Form tidak terbuka bersamaan dengan detail aktif di atas.</x:v>
      </x:c>
      <x:c r="B31" s="50" t="str">
        <x:v>Detail berubah menjadi mode FORM. Contoh pada kanan memperlihatkan field dan tabel rincian editable. Form tidak terbuka bersamaan dengan detail aktif di atas.</x:v>
      </x:c>
      <x:c r="C31" s="50" t="str">
        <x:v>Detail berubah menjadi mode FORM. Contoh pada kanan memperlihatkan field dan tabel rincian editable. Form tidak terbuka bersamaan dengan detail aktif di atas.</x:v>
      </x:c>
      <x:c r="D31" s="50" t="str">
        <x:v>Detail berubah menjadi mode FORM. Contoh pada kanan memperlihatkan field dan tabel rincian editable. Form tidak terbuka bersamaan dengan detail aktif di atas.</x:v>
      </x:c>
      <x:c r="F31" s="40" t="str">
        <x:v>Nomor invoice *</x:v>
      </x:c>
      <x:c r="G31" s="44" t="str">
        <x:v>Isi nomor vendor</x:v>
      </x:c>
      <x:c r="H31" s="44" t="str">
        <x:v>Isi nomor vendor</x:v>
      </x:c>
    </x:row>
    <x:row r="32" ht="28" customHeight="1">
      <x:c r="F32" s="40" t="str">
        <x:v>Tanggal *</x:v>
      </x:c>
      <x:c r="G32" s="44" t="str">
        <x:v>Pilih tanggal</x:v>
      </x:c>
      <x:c r="H32" s="44" t="str">
        <x:v>Pilih tanggal</x:v>
      </x:c>
    </x:row>
    <x:row r="33" ht="28" customHeight="1">
      <x:c r="F33" s="40" t="str">
        <x:v>Jatuh tempo *</x:v>
      </x:c>
      <x:c r="G33" s="44" t="str">
        <x:v>Pilih tanggal / termin</x:v>
      </x:c>
      <x:c r="H33" s="44" t="str">
        <x:v>Pilih tanggal / termin</x:v>
      </x:c>
    </x:row>
    <x:row r="34" ht="28" customHeight="1">
      <x:c r="F34" s="47" t="str">
        <x:v>Rincian: uraian · kategori · qty · harga · potongan</x:v>
      </x:c>
      <x:c r="G34" s="47" t="str">
        <x:v>Rincian: uraian · kategori · qty · harga · potongan</x:v>
      </x:c>
      <x:c r="H34" s="47" t="str">
        <x:v>Rincian: uraian · kategori · qty · harga · potongan</x:v>
      </x:c>
    </x:row>
    <x:row r="35" ht="28" customHeight="1">
      <x:c r="F35" s="50" t="str">
        <x:v>Jasa contoh, 1 × harga</x:v>
      </x:c>
      <x:c r="G35" s="50" t="str">
        <x:v>Jasa contoh, 1 × harga</x:v>
      </x:c>
      <x:c r="H35" s="52" t="n">
        <x:v>1500000</x:v>
      </x:c>
    </x:row>
    <x:row r="36" ht="28" customHeight="1">
      <x:c r="F36" s="50" t="str">
        <x:v>+ Tambah baris · Ubah · Hapus baris draf</x:v>
      </x:c>
      <x:c r="G36" s="50" t="str">
        <x:v>+ Tambah baris · Ubah · Hapus baris draf</x:v>
      </x:c>
      <x:c r="H36" s="50" t="str">
        <x:v>+ Tambah baris · Ubah · Hapus baris draf</x:v>
      </x:c>
    </x:row>
    <x:row r="37" ht="28" customHeight="1">
      <x:c r="F37" s="50" t="str">
        <x:v>Pajak/potongan: pilih aturan atau dokumen sah bila relevan. Total dihitung dari rincian.</x:v>
      </x:c>
      <x:c r="G37" s="50" t="str">
        <x:v>Pajak/potongan: pilih aturan atau dokumen sah bila relevan. Total dihitung dari rincian.</x:v>
      </x:c>
      <x:c r="H37" s="50" t="str">
        <x:v>Pajak/potongan: pilih aturan atau dokumen sah bila relevan. Total dihitung dari rincian.</x:v>
      </x:c>
    </x:row>
    <x:row r="38" ht="28" customHeight="1">
      <x:c r="F38" s="50" t="str">
        <x:v>Pajak/potongan: pilih aturan atau dokumen sah bila relevan. Total dihitung dari rincian.</x:v>
      </x:c>
      <x:c r="G38" s="50" t="str">
        <x:v>Pajak/potongan: pilih aturan atau dokumen sah bila relevan. Total dihitung dari rincian.</x:v>
      </x:c>
      <x:c r="H38" s="50" t="str">
        <x:v>Pajak/potongan: pilih aturan atau dokumen sah bila relevan. Total dihitung dari rincian.</x:v>
      </x:c>
    </x:row>
    <x:row r="39" ht="28" customHeight="1">
      <x:c r="F39" s="50" t="str">
        <x:v>Lampiran *  Unggah / pratinjau / ganti draf</x:v>
      </x:c>
      <x:c r="G39" s="50" t="str">
        <x:v>Lampiran *  Unggah / pratinjau / ganti draf</x:v>
      </x:c>
      <x:c r="H39" s="50" t="str">
        <x:v>Lampiran *  Unggah / pratinjau / ganti draf</x:v>
      </x:c>
    </x:row>
    <x:row r="40" ht="28" customHeight="1">
      <x:c r="F40" s="50" t="str">
        <x:v>Validasi: vendor/nomor tidak duplikat; kategori dan unit sah; error muncul di field atau baris tanpa menghapus input.</x:v>
      </x:c>
      <x:c r="G40" s="50" t="str">
        <x:v>Validasi: vendor/nomor tidak duplikat; kategori dan unit sah; error muncul di field atau baris tanpa menghapus input.</x:v>
      </x:c>
      <x:c r="H40" s="50" t="str">
        <x:v>Validasi: vendor/nomor tidak duplikat; kategori dan unit sah; error muncul di field atau baris tanpa menghapus input.</x:v>
      </x:c>
    </x:row>
    <x:row r="41" ht="28" customHeight="1">
      <x:c r="F41" s="50" t="str">
        <x:v>Validasi: vendor/nomor tidak duplikat; kategori dan unit sah; error muncul di field atau baris tanpa menghapus input.</x:v>
      </x:c>
      <x:c r="G41" s="50" t="str">
        <x:v>Validasi: vendor/nomor tidak duplikat; kategori dan unit sah; error muncul di field atau baris tanpa menghapus input.</x:v>
      </x:c>
      <x:c r="H41" s="50" t="str">
        <x:v>Validasi: vendor/nomor tidak duplikat; kategori dan unit sah; error muncul di field atau baris tanpa menghapus input.</x:v>
      </x:c>
    </x:row>
    <x:row r="43" ht="28" customHeight="1">
      <x:c r="F43" s="36" t="str">
        <x:v>Ajukan review</x:v>
      </x:c>
      <x:c r="G43" s="36" t="str">
        <x:v>Ajukan review</x:v>
      </x:c>
      <x:c r="H43" s="47" t="str">
        <x:v>Simpan draf</x:v>
      </x:c>
    </x:row>
    <x:row r="44" ht="28" customHeight="1">
      <x:c r="F44" s="50" t="str">
        <x:v>Keluar: Simpan / Buang / Lanjut edit</x:v>
      </x:c>
      <x:c r="G44" s="50" t="str">
        <x:v>Keluar: Simpan / Buang / Lanjut edit</x:v>
      </x:c>
      <x:c r="H44" s="50" t="str">
        <x:v>Keluar: Simpan / Buang / Lanjut edit</x:v>
      </x:c>
    </x:row>
    <x:row r="47" ht="28" customHeight="1">
      <x:c r="A47" s="47" t="str">
        <x:v>Keadaan berikutnya: Bayar membuka form pembayaran bersama</x:v>
      </x:c>
      <x:c r="B47" s="47" t="str">
        <x:v>Keadaan berikutnya: Bayar membuka form pembayaran bersama</x:v>
      </x:c>
      <x:c r="C47" s="47" t="str">
        <x:v>Keadaan berikutnya: Bayar membuka form pembayaran bersama</x:v>
      </x:c>
      <x:c r="D47" s="47" t="str">
        <x:v>Keadaan berikutnya: Bayar membuka form pembayaran bersama</x:v>
      </x:c>
      <x:c r="E47" s="47" t="str">
        <x:v>Keadaan berikutnya: Bayar membuka form pembayaran bersama</x:v>
      </x:c>
      <x:c r="F47" s="47" t="str">
        <x:v>Keadaan berikutnya: Bayar membuka form pembayaran bersama</x:v>
      </x:c>
      <x:c r="G47" s="47" t="str">
        <x:v>Keadaan berikutnya: Bayar membuka form pembayaran bersama</x:v>
      </x:c>
      <x:c r="H47" s="47" t="str">
        <x:v>Keadaan berikutnya: Bayar membuka form pembayaran bersama</x:v>
      </x:c>
    </x:row>
    <x:row r="49" ht="28" customHeight="1">
      <x:c r="F49" s="36" t="str">
        <x:v>SIAPKAN PEMBAYARAN                     Batal ×</x:v>
      </x:c>
      <x:c r="G49" s="36" t="str">
        <x:v>SIAPKAN PEMBAYARAN                     Batal ×</x:v>
      </x:c>
      <x:c r="H49" s="36" t="str">
        <x:v>SIAPKAN PEMBAYARAN                     Batal ×</x:v>
      </x:c>
    </x:row>
    <x:row r="50" ht="28" customHeight="1">
      <x:c r="F50" s="50" t="str">
        <x:v>Sumber UI-BILL-001 · HO · Vendor A</x:v>
      </x:c>
      <x:c r="G50" s="50" t="str">
        <x:v>Sumber UI-BILL-001 · HO · Vendor A</x:v>
      </x:c>
      <x:c r="H50" s="50" t="str">
        <x:v>Sumber UI-BILL-001 · HO · Vendor A</x:v>
      </x:c>
    </x:row>
    <x:row r="51" ht="28" customHeight="1">
      <x:c r="F51" s="40" t="str">
        <x:v>Rekening *</x:v>
      </x:c>
      <x:c r="G51" s="44" t="str">
        <x:v>Pilih rekening berizin ▾</x:v>
      </x:c>
      <x:c r="H51" s="44" t="str">
        <x:v>Pilih rekening berizin ▾</x:v>
      </x:c>
    </x:row>
    <x:row r="52" ht="28" customHeight="1">
      <x:c r="F52" s="40" t="str">
        <x:v>Metode *</x:v>
      </x:c>
      <x:c r="G52" s="44" t="str">
        <x:v>Transfer / tunai / giro ▾</x:v>
      </x:c>
      <x:c r="H52" s="44" t="str">
        <x:v>Transfer / tunai / giro ▾</x:v>
      </x:c>
    </x:row>
    <x:row r="53" ht="28" customHeight="1">
      <x:c r="F53" s="50" t="str">
        <x:v>Alokasi sumber: UI-BILL-001; sisa Rp2.500.000</x:v>
      </x:c>
      <x:c r="G53" s="50" t="str">
        <x:v>Alokasi sumber: UI-BILL-001; sisa Rp2.500.000</x:v>
      </x:c>
      <x:c r="H53" s="50" t="str">
        <x:v>Alokasi sumber: UI-BILL-001; sisa Rp2.500.000</x:v>
      </x:c>
    </x:row>
    <x:row r="54" ht="28" customHeight="1">
      <x:c r="F54" s="50" t="str">
        <x:v>Nominal alokasi Rp</x:v>
      </x:c>
      <x:c r="G54" s="50" t="str">
        <x:v>Nominal alokasi Rp</x:v>
      </x:c>
      <x:c r="H54" s="52" t="n">
        <x:v>2500000</x:v>
      </x:c>
    </x:row>
    <x:row r="55" ht="28" customHeight="1">
      <x:c r="F55" s="50" t="str">
        <x:v>Metode giro membuka field nomor, bank dan jatuh tempo. Akun outstanding harus sesuai bank yang dipilih.</x:v>
      </x:c>
      <x:c r="G55" s="50" t="str">
        <x:v>Metode giro membuka field nomor, bank dan jatuh tempo. Akun outstanding harus sesuai bank yang dipilih.</x:v>
      </x:c>
      <x:c r="H55" s="50" t="str">
        <x:v>Metode giro membuka field nomor, bank dan jatuh tempo. Akun outstanding harus sesuai bank yang dipilih.</x:v>
      </x:c>
    </x:row>
    <x:row r="56" ht="28" customHeight="1">
      <x:c r="F56" s="50" t="str">
        <x:v>Metode giro membuka field nomor, bank dan jatuh tempo. Akun outstanding harus sesuai bank yang dipilih.</x:v>
      </x:c>
      <x:c r="G56" s="50" t="str">
        <x:v>Metode giro membuka field nomor, bank dan jatuh tempo. Akun outstanding harus sesuai bank yang dipilih.</x:v>
      </x:c>
      <x:c r="H56" s="50" t="str">
        <x:v>Metode giro membuka field nomor, bank dan jatuh tempo. Akun outstanding harus sesuai bank yang dipilih.</x:v>
      </x:c>
    </x:row>
    <x:row r="57" ht="28" customHeight="1">
      <x:c r="F57" s="50" t="str">
        <x:v>Ajukan belum berarti dibayar. Eksekusi oleh Treasury setelah disetujui; hasil bank dan alokasi tercatat pada satu payment.</x:v>
      </x:c>
      <x:c r="G57" s="50" t="str">
        <x:v>Ajukan belum berarti dibayar. Eksekusi oleh Treasury setelah disetujui; hasil bank dan alokasi tercatat pada satu payment.</x:v>
      </x:c>
      <x:c r="H57" s="50" t="str">
        <x:v>Ajukan belum berarti dibayar. Eksekusi oleh Treasury setelah disetujui; hasil bank dan alokasi tercatat pada satu payment.</x:v>
      </x:c>
    </x:row>
    <x:row r="58" ht="28" customHeight="1">
      <x:c r="F58" s="50" t="str">
        <x:v>Ajukan belum berarti dibayar. Eksekusi oleh Treasury setelah disetujui; hasil bank dan alokasi tercatat pada satu payment.</x:v>
      </x:c>
      <x:c r="G58" s="50" t="str">
        <x:v>Ajukan belum berarti dibayar. Eksekusi oleh Treasury setelah disetujui; hasil bank dan alokasi tercatat pada satu payment.</x:v>
      </x:c>
      <x:c r="H58" s="50" t="str">
        <x:v>Ajukan belum berarti dibayar. Eksekusi oleh Treasury setelah disetujui; hasil bank dan alokasi tercatat pada satu payment.</x:v>
      </x:c>
    </x:row>
    <x:row r="60" ht="28" customHeight="1">
      <x:c r="F60" s="36" t="str">
        <x:v>Ajukan pembayaran</x:v>
      </x:c>
      <x:c r="G60" s="36" t="str">
        <x:v>Ajukan pembayaran</x:v>
      </x:c>
      <x:c r="H60" s="47" t="str">
        <x:v>Simpan draf</x:v>
      </x:c>
    </x:row>
  </x:sheetData>
  <x:mergeCells>
    <x:mergeCell ref="A1:H1"/>
    <x:mergeCell ref="A2:H3"/>
    <x:mergeCell ref="F5:H5"/>
    <x:mergeCell ref="F6:H6"/>
    <x:mergeCell ref="F7:H7"/>
    <x:mergeCell ref="F8:H8"/>
    <x:mergeCell ref="G9:H9"/>
    <x:mergeCell ref="G10:H10"/>
    <x:mergeCell ref="F11:H11"/>
    <x:mergeCell ref="F12:G12"/>
    <x:mergeCell ref="F13:G13"/>
    <x:mergeCell ref="F14:G14"/>
    <x:mergeCell ref="F15:H16"/>
    <x:mergeCell ref="F17:H18"/>
    <x:mergeCell ref="F19:H20"/>
    <x:mergeCell ref="F22:G22"/>
    <x:mergeCell ref="F23:H23"/>
    <x:mergeCell ref="A26:H26"/>
    <x:mergeCell ref="A28:D31"/>
    <x:mergeCell ref="F28:H28"/>
    <x:mergeCell ref="F29:H29"/>
    <x:mergeCell ref="G30:H30"/>
    <x:mergeCell ref="G31:H31"/>
    <x:mergeCell ref="G32:H32"/>
    <x:mergeCell ref="G33:H33"/>
    <x:mergeCell ref="F34:H34"/>
    <x:mergeCell ref="F35:G35"/>
    <x:mergeCell ref="F36:H36"/>
    <x:mergeCell ref="F37:H38"/>
    <x:mergeCell ref="F39:H39"/>
    <x:mergeCell ref="F40:H41"/>
    <x:mergeCell ref="F43:G43"/>
    <x:mergeCell ref="F44:H44"/>
    <x:mergeCell ref="A47:H47"/>
    <x:mergeCell ref="F49:H49"/>
    <x:mergeCell ref="F50:H50"/>
    <x:mergeCell ref="G51:H51"/>
    <x:mergeCell ref="G52:H52"/>
    <x:mergeCell ref="F53:H53"/>
    <x:mergeCell ref="F54:G54"/>
    <x:mergeCell ref="F55:H56"/>
    <x:mergeCell ref="F57:H58"/>
    <x:mergeCell ref="F60:G60"/>
  </x:mergeCells>
  <x:pageMargins left="0.7" right="0.7" top="0.75" bottom="0.75" header="0.3" footer="0.3"/>
  <x:tableParts count="1">
    <x:tablePart xmlns:r="http://schemas.openxmlformats.org/officeDocument/2006/relationships" r:id="R4f9b035bb0724059"/>
  </x:tableParts>
</x:worksheet>
</file>